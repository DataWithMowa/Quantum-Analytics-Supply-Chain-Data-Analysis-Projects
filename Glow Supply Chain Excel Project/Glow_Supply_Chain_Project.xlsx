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esktop\QUANTUM ANALYTICS\EXCEL PROJECTS\GLOW SUPPLY CHAIN ANALYSIS\"/>
    </mc:Choice>
  </mc:AlternateContent>
  <xr:revisionPtr revIDLastSave="0" documentId="13_ncr:1_{EFD9A3F6-C3FD-4C86-8B22-28DA1B639475}" xr6:coauthVersionLast="47" xr6:coauthVersionMax="47" xr10:uidLastSave="{00000000-0000-0000-0000-000000000000}"/>
  <bookViews>
    <workbookView xWindow="-110" yWindow="-110" windowWidth="19420" windowHeight="10300" firstSheet="3" activeTab="6" xr2:uid="{8733362A-0E93-478C-B1BE-8D9A74DF2AF5}"/>
  </bookViews>
  <sheets>
    <sheet name="ANALYZED DATA" sheetId="2" r:id="rId1"/>
    <sheet name="Supply_chain_data ORIGINAL" sheetId="1" r:id="rId2"/>
    <sheet name="Data Definitions" sheetId="3" r:id="rId3"/>
    <sheet name="Glow" sheetId="4" r:id="rId4"/>
    <sheet name="Pivot Engine" sheetId="5" r:id="rId5"/>
    <sheet name="Background Story" sheetId="15" r:id="rId6"/>
    <sheet name="DashBoard" sheetId="14" r:id="rId7"/>
    <sheet name="Project Lessons" sheetId="13" r:id="rId8"/>
  </sheets>
  <definedNames>
    <definedName name="ExternalData_1" localSheetId="3" hidden="1">Glow!$A$1:$Y$101</definedName>
    <definedName name="Slicer_Location">#N/A</definedName>
    <definedName name="Slicer_Product_type">#N/A</definedName>
  </definedNames>
  <calcPr calcId="191029"/>
  <pivotCaches>
    <pivotCache cacheId="3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2" i="4" l="1"/>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8D24B8-626E-4AA7-BC58-7AC3D45067E6}" keepAlive="1" name="Query - Glow" description="Connection to the 'Glow' query in the workbook." type="5" refreshedVersion="8" background="1" saveData="1">
    <dbPr connection="Provider=Microsoft.Mashup.OleDb.1;Data Source=$Workbook$;Location=Glow;Extended Properties=&quot;&quot;" command="SELECT * FROM [Glow]"/>
  </connection>
</connections>
</file>

<file path=xl/sharedStrings.xml><?xml version="1.0" encoding="utf-8"?>
<sst xmlns="http://schemas.openxmlformats.org/spreadsheetml/2006/main" count="3038" uniqueCount="181">
  <si>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</si>
  <si>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</si>
  <si>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</si>
  <si>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</si>
  <si>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</si>
  <si>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</si>
  <si>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</si>
  <si>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</si>
  <si>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</si>
  <si>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</si>
  <si>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</si>
  <si>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</si>
  <si>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</si>
  <si>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</si>
  <si>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</si>
  <si>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</si>
  <si>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</si>
  <si>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</si>
  <si>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</si>
  <si>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</si>
  <si>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</si>
  <si>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</si>
  <si>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</si>
  <si>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</si>
  <si>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</si>
  <si>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</si>
  <si>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</si>
  <si>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</si>
  <si>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</si>
  <si>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</si>
  <si>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</si>
  <si>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</si>
  <si>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</si>
  <si>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</si>
  <si>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</si>
  <si>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</si>
  <si>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</si>
  <si>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</si>
  <si>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</si>
  <si>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</si>
  <si>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</si>
  <si>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</si>
  <si>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</si>
  <si>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</si>
  <si>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</si>
  <si>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</si>
  <si>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</si>
  <si>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</si>
  <si>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</si>
  <si>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</si>
  <si>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</si>
  <si>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</si>
  <si>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</si>
  <si>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</si>
  <si>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</si>
  <si>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</si>
  <si>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</si>
  <si>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</si>
  <si>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</si>
  <si>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</si>
  <si>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</si>
  <si>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</si>
  <si>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</si>
  <si>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</si>
  <si>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</si>
  <si>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</si>
  <si>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</si>
  <si>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</si>
  <si>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</si>
  <si>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</si>
  <si>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</si>
  <si>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</si>
  <si>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</si>
  <si>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</si>
  <si>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</si>
  <si>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</si>
  <si>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</si>
  <si>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</si>
  <si>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</si>
  <si>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</si>
  <si>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</si>
  <si>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</si>
  <si>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</si>
  <si>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</si>
  <si>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</si>
  <si>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</si>
  <si>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</si>
  <si>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</si>
  <si>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</si>
  <si>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</si>
  <si>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</si>
  <si>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</si>
  <si>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</si>
  <si>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</si>
  <si>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</si>
  <si>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</si>
  <si>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</si>
  <si>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</si>
  <si>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</si>
  <si>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</si>
  <si>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</si>
  <si>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</si>
  <si>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</si>
  <si>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</si>
  <si>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</si>
  <si>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</si>
  <si>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</si>
  <si>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</si>
  <si>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</si>
  <si>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</si>
  <si>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</si>
  <si>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</si>
  <si>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</si>
  <si>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</si>
  <si>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</si>
  <si>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</si>
  <si>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</si>
  <si>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</si>
  <si>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</si>
  <si>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</si>
  <si>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</si>
  <si>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</si>
  <si>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</si>
  <si>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</si>
  <si>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</si>
  <si>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</si>
  <si>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</si>
  <si>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</si>
  <si>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</si>
  <si>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</si>
  <si>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</si>
  <si>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</si>
  <si>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</si>
  <si>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</si>
  <si>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</si>
  <si>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</si>
  <si>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</si>
  <si>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</si>
  <si>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</si>
  <si>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</si>
  <si>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</si>
  <si>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</si>
  <si>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</si>
  <si>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</si>
  <si>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</si>
  <si>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</si>
  <si>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</si>
  <si>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</si>
  <si>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</si>
  <si>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</si>
  <si>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</si>
  <si>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</si>
  <si>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</si>
  <si>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</si>
  <si>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Lead Times (Days)</t>
  </si>
  <si>
    <t>Order Quantities</t>
  </si>
  <si>
    <t>Supplier_Name</t>
  </si>
  <si>
    <t>Product Lead Time (Days)</t>
  </si>
  <si>
    <t>Manufacturing lead Time (days)</t>
  </si>
  <si>
    <t>Supplier Lead time (Days)</t>
  </si>
  <si>
    <t>Supplier Availability</t>
  </si>
  <si>
    <t>Glow Stock levels</t>
  </si>
  <si>
    <t>Defect Rate (%)</t>
  </si>
  <si>
    <t>Grand Total</t>
  </si>
  <si>
    <t>Average of Defect Rate (%)</t>
  </si>
  <si>
    <t xml:space="preserve">2. What are the percentages of sales generated by the respective products? </t>
  </si>
  <si>
    <t>Product</t>
  </si>
  <si>
    <t>Average Product Price</t>
  </si>
  <si>
    <t>Total Revenue</t>
  </si>
  <si>
    <t>Shipping Carriers</t>
  </si>
  <si>
    <t>3. What is the total revenue generated by the various shipping carriers? Meaning how much does each carrier bring in while transporting and delivering Glow's Product?</t>
  </si>
  <si>
    <t>The ₹250,095 next to Carrier B means that this specific company physically transported and delivered the products that brought in 43% of our business sales.</t>
  </si>
  <si>
    <t>Total Revenue (%)</t>
  </si>
  <si>
    <t>4. What is Revenue generated by SKU (Hint: using a Line Chart to represent this)</t>
  </si>
  <si>
    <t>5. What are the various Stock Levels by SKU: Stock levels refer to the number of products a store or business has in its inventory. Now let’s have a look at the stock levels of each SKU (Hint: Use a line chart for this too)</t>
  </si>
  <si>
    <t xml:space="preserve">6. What are the various shipping costs by Carriers? 
</t>
  </si>
  <si>
    <t>Average of Shipping costs</t>
  </si>
  <si>
    <t xml:space="preserve">7.  Show the cost distribution by various transport mode </t>
  </si>
  <si>
    <t>Transport Mode</t>
  </si>
  <si>
    <t>Average Costs</t>
  </si>
  <si>
    <t>8. What are the average defect rates by the various Product types and transportation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</si>
</sst>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439]#,##0"/>
    <numFmt numFmtId="167" formatCode="[$₹-439]#,##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49" fontId="0" fillId="0" borderId="0" xfId="0" applyNumberFormat="1"/>
    <xf numFmtId="164" fontId="0" fillId="0" borderId="0" xfId="0" applyNumberFormat="1"/>
    <xf numFmtId="2" fontId="0" fillId="0" borderId="0" xfId="0" applyNumberFormat="1"/>
    <xf numFmtId="1" fontId="0" fillId="0" borderId="0" xfId="0" applyNumberFormat="1"/>
    <xf numFmtId="165" fontId="0" fillId="0" borderId="0" xfId="0" applyNumberFormat="1"/>
    <xf numFmtId="49" fontId="0" fillId="34" borderId="10" xfId="0" applyNumberFormat="1" applyFill="1" applyBorder="1"/>
    <xf numFmtId="164" fontId="0" fillId="34" borderId="10" xfId="0" applyNumberFormat="1" applyFill="1" applyBorder="1"/>
    <xf numFmtId="1" fontId="0" fillId="34" borderId="10" xfId="0" applyNumberFormat="1" applyFill="1" applyBorder="1"/>
    <xf numFmtId="165" fontId="0" fillId="34" borderId="10" xfId="0" applyNumberFormat="1" applyFill="1" applyBorder="1"/>
    <xf numFmtId="0" fontId="0" fillId="34" borderId="10" xfId="0" applyFill="1" applyBorder="1"/>
    <xf numFmtId="49" fontId="0" fillId="0" borderId="10" xfId="0" applyNumberFormat="1" applyBorder="1"/>
    <xf numFmtId="164" fontId="0" fillId="0" borderId="10" xfId="0" applyNumberFormat="1" applyBorder="1"/>
    <xf numFmtId="1" fontId="0" fillId="0" borderId="10" xfId="0" applyNumberFormat="1" applyBorder="1"/>
    <xf numFmtId="165" fontId="0" fillId="0" borderId="10" xfId="0" applyNumberFormat="1" applyBorder="1"/>
    <xf numFmtId="0" fontId="0" fillId="0" borderId="10" xfId="0" applyBorder="1"/>
    <xf numFmtId="49" fontId="13" fillId="33" borderId="0" xfId="0" applyNumberFormat="1" applyFont="1" applyFill="1"/>
    <xf numFmtId="164" fontId="13" fillId="33" borderId="0" xfId="0" applyNumberFormat="1" applyFont="1" applyFill="1"/>
    <xf numFmtId="1" fontId="13" fillId="33" borderId="0" xfId="0" applyNumberFormat="1" applyFont="1" applyFill="1"/>
    <xf numFmtId="165" fontId="13" fillId="33" borderId="0" xfId="0" applyNumberFormat="1" applyFont="1" applyFill="1"/>
    <xf numFmtId="0" fontId="13" fillId="33" borderId="0" xfId="0" applyFont="1" applyFill="1"/>
    <xf numFmtId="166" fontId="0" fillId="0" borderId="0" xfId="0" applyNumberFormat="1"/>
    <xf numFmtId="10"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16" fillId="34" borderId="11" xfId="0" applyFont="1" applyFill="1" applyBorder="1"/>
    <xf numFmtId="166" fontId="16" fillId="34" borderId="10" xfId="0" applyNumberFormat="1" applyFont="1" applyFill="1" applyBorder="1"/>
    <xf numFmtId="0" fontId="0" fillId="0" borderId="0" xfId="0" applyAlignment="1">
      <alignment horizontal="left" indent="1"/>
    </xf>
    <xf numFmtId="0" fontId="0" fillId="35" borderId="0" xfId="0" applyFill="1"/>
    <xf numFmtId="0" fontId="0" fillId="0" borderId="0" xfId="0"/>
    <xf numFmtId="0" fontId="0" fillId="0" borderId="0" xfId="0"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
    <dxf>
      <numFmt numFmtId="166" formatCode="[$₹-439]#,##0"/>
    </dxf>
    <dxf>
      <numFmt numFmtId="166" formatCode="[$₹-439]#,##0"/>
    </dxf>
    <dxf>
      <numFmt numFmtId="167" formatCode="[$₹-439]#,##0.00"/>
    </dxf>
    <dxf>
      <numFmt numFmtId="167" formatCode="[$₹-439]#,##0.00"/>
    </dxf>
    <dxf>
      <numFmt numFmtId="14" formatCode="0.00%"/>
    </dxf>
    <dxf>
      <numFmt numFmtId="14" formatCode="0.00%"/>
    </dxf>
    <dxf>
      <numFmt numFmtId="166" formatCode="[$₹-439]#,##0"/>
    </dxf>
    <dxf>
      <numFmt numFmtId="166" formatCode="[$₹-439]#,##0"/>
    </dxf>
    <dxf>
      <numFmt numFmtId="30" formatCode="@"/>
    </dxf>
    <dxf>
      <numFmt numFmtId="30" formatCode="@"/>
    </dxf>
    <dxf>
      <numFmt numFmtId="30" formatCode="@"/>
    </dxf>
    <dxf>
      <numFmt numFmtId="30" formatCode="@"/>
    </dxf>
    <dxf>
      <numFmt numFmtId="1" formatCode="0"/>
    </dxf>
    <dxf>
      <numFmt numFmtId="1" formatCode="0"/>
    </dxf>
    <dxf>
      <numFmt numFmtId="166" formatCode="[$₹-439]#,##0"/>
    </dxf>
    <dxf>
      <numFmt numFmtId="166" formatCode="[$₹-439]#,##0"/>
    </dxf>
    <dxf>
      <numFmt numFmtId="30" formatCode="@"/>
    </dxf>
    <dxf>
      <numFmt numFmtId="30" formatCode="@"/>
    </dxf>
    <dxf>
      <numFmt numFmtId="1" formatCode="0"/>
    </dxf>
    <dxf>
      <numFmt numFmtId="1" formatCode="0"/>
    </dxf>
    <dxf>
      <numFmt numFmtId="14" formatCode="0.00%"/>
    </dxf>
    <dxf>
      <numFmt numFmtId="14" formatCode="0.00%"/>
    </dxf>
    <dxf>
      <numFmt numFmtId="2" formatCode="0.00"/>
    </dxf>
    <dxf>
      <numFmt numFmtId="2" formatCode="0.00"/>
    </dxf>
    <dxf>
      <numFmt numFmtId="30" formatCode="@"/>
    </dxf>
    <dxf>
      <numFmt numFmtId="30" formatCode="@"/>
    </dxf>
    <dxf>
      <numFmt numFmtId="166" formatCode="[$₹-439]#,##0"/>
    </dxf>
    <dxf>
      <numFmt numFmtId="166" formatCode="[$₹-439]#,##0"/>
    </dxf>
    <dxf>
      <numFmt numFmtId="1" formatCode="0"/>
    </dxf>
    <dxf>
      <numFmt numFmtId="1" formatCode="0"/>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1" formatCode="0"/>
    </dxf>
    <dxf>
      <numFmt numFmtId="30" formatCode="@"/>
    </dxf>
    <dxf>
      <numFmt numFmtId="30" formatCode="@"/>
    </dxf>
    <dxf>
      <numFmt numFmtId="166" formatCode="[$₹-439]#,##0"/>
    </dxf>
    <dxf>
      <numFmt numFmtId="166" formatCode="[$₹-439]#,##0"/>
    </dxf>
    <dxf>
      <numFmt numFmtId="1" formatCode="0"/>
    </dxf>
    <dxf>
      <numFmt numFmtId="1" formatCode="0"/>
    </dxf>
    <dxf>
      <numFmt numFmtId="1" formatCode="0"/>
    </dxf>
    <dxf>
      <numFmt numFmtId="1" formatCode="0"/>
    </dxf>
    <dxf>
      <numFmt numFmtId="166" formatCode="[$₹-439]#,##0"/>
    </dxf>
    <dxf>
      <numFmt numFmtId="166" formatCode="[$₹-439]#,##0"/>
    </dxf>
    <dxf>
      <numFmt numFmtId="30" formatCode="@"/>
    </dxf>
    <dxf>
      <numFmt numFmtId="30" formatCode="@"/>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Type</a:t>
            </a:r>
            <a:r>
              <a:rPr lang="en-US" baseline="0"/>
              <a:t> VS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c:f>
              <c:strCache>
                <c:ptCount val="1"/>
                <c:pt idx="0">
                  <c:v>Average Product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Engine'!$A$2:$A$5</c:f>
              <c:strCache>
                <c:ptCount val="3"/>
                <c:pt idx="0">
                  <c:v>cosmetics</c:v>
                </c:pt>
                <c:pt idx="1">
                  <c:v>haircare</c:v>
                </c:pt>
                <c:pt idx="2">
                  <c:v>skincare</c:v>
                </c:pt>
              </c:strCache>
            </c:strRef>
          </c:cat>
          <c:val>
            <c:numRef>
              <c:f>'Pivot Engine'!$B$2:$B$5</c:f>
              <c:numCache>
                <c:formatCode>[$₹-439]#,##0</c:formatCode>
                <c:ptCount val="3"/>
                <c:pt idx="0">
                  <c:v>57.361057692307696</c:v>
                </c:pt>
                <c:pt idx="1">
                  <c:v>46.014267647058823</c:v>
                </c:pt>
                <c:pt idx="2">
                  <c:v>47.259325000000004</c:v>
                </c:pt>
              </c:numCache>
            </c:numRef>
          </c:val>
          <c:extLst>
            <c:ext xmlns:c16="http://schemas.microsoft.com/office/drawing/2014/chart" uri="{C3380CC4-5D6E-409C-BE32-E72D297353CC}">
              <c16:uniqueId val="{00000000-A3F1-4E6C-8E4D-D7424BB20830}"/>
            </c:ext>
          </c:extLst>
        </c:ser>
        <c:dLbls>
          <c:showLegendKey val="0"/>
          <c:showVal val="0"/>
          <c:showCatName val="0"/>
          <c:showSerName val="0"/>
          <c:showPercent val="0"/>
          <c:showBubbleSize val="0"/>
        </c:dLbls>
        <c:gapWidth val="219"/>
        <c:overlap val="-27"/>
        <c:axId val="2055136831"/>
        <c:axId val="1918319631"/>
      </c:barChart>
      <c:lineChart>
        <c:grouping val="standard"/>
        <c:varyColors val="0"/>
        <c:ser>
          <c:idx val="1"/>
          <c:order val="1"/>
          <c:tx>
            <c:strRef>
              <c:f>'Pivot Engine'!$C$1</c:f>
              <c:strCache>
                <c:ptCount val="1"/>
                <c:pt idx="0">
                  <c:v>Total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Engine'!$A$2:$A$5</c:f>
              <c:strCache>
                <c:ptCount val="3"/>
                <c:pt idx="0">
                  <c:v>cosmetics</c:v>
                </c:pt>
                <c:pt idx="1">
                  <c:v>haircare</c:v>
                </c:pt>
                <c:pt idx="2">
                  <c:v>skincare</c:v>
                </c:pt>
              </c:strCache>
            </c:strRef>
          </c:cat>
          <c:val>
            <c:numRef>
              <c:f>'Pivot Engine'!$C$2:$C$5</c:f>
              <c:numCache>
                <c:formatCode>[$₹-439]#,##0</c:formatCode>
                <c:ptCount val="3"/>
                <c:pt idx="0">
                  <c:v>161521.26589999997</c:v>
                </c:pt>
                <c:pt idx="1">
                  <c:v>174455.39070000005</c:v>
                </c:pt>
                <c:pt idx="2">
                  <c:v>241628.16230000003</c:v>
                </c:pt>
              </c:numCache>
            </c:numRef>
          </c:val>
          <c:smooth val="0"/>
          <c:extLst>
            <c:ext xmlns:c16="http://schemas.microsoft.com/office/drawing/2014/chart" uri="{C3380CC4-5D6E-409C-BE32-E72D297353CC}">
              <c16:uniqueId val="{00000001-A3F1-4E6C-8E4D-D7424BB20830}"/>
            </c:ext>
          </c:extLst>
        </c:ser>
        <c:dLbls>
          <c:showLegendKey val="0"/>
          <c:showVal val="0"/>
          <c:showCatName val="0"/>
          <c:showSerName val="0"/>
          <c:showPercent val="0"/>
          <c:showBubbleSize val="0"/>
        </c:dLbls>
        <c:marker val="1"/>
        <c:smooth val="0"/>
        <c:axId val="2055026399"/>
        <c:axId val="1918289391"/>
      </c:lineChart>
      <c:catAx>
        <c:axId val="205513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319631"/>
        <c:crosses val="autoZero"/>
        <c:auto val="1"/>
        <c:lblAlgn val="ctr"/>
        <c:lblOffset val="100"/>
        <c:noMultiLvlLbl val="0"/>
      </c:catAx>
      <c:valAx>
        <c:axId val="1918319631"/>
        <c:scaling>
          <c:orientation val="minMax"/>
        </c:scaling>
        <c:delete val="0"/>
        <c:axPos val="l"/>
        <c:majorGridlines>
          <c:spPr>
            <a:ln w="9525" cap="flat" cmpd="sng" algn="ctr">
              <a:solidFill>
                <a:schemeClr val="lt1">
                  <a:lumMod val="95000"/>
                  <a:alpha val="10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136831"/>
        <c:crosses val="autoZero"/>
        <c:crossBetween val="between"/>
      </c:valAx>
      <c:valAx>
        <c:axId val="1918289391"/>
        <c:scaling>
          <c:orientation val="minMax"/>
        </c:scaling>
        <c:delete val="0"/>
        <c:axPos val="r"/>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026399"/>
        <c:crosses val="max"/>
        <c:crossBetween val="between"/>
      </c:valAx>
      <c:catAx>
        <c:axId val="2055026399"/>
        <c:scaling>
          <c:orientation val="minMax"/>
        </c:scaling>
        <c:delete val="1"/>
        <c:axPos val="t"/>
        <c:numFmt formatCode="General" sourceLinked="1"/>
        <c:majorTickMark val="none"/>
        <c:minorTickMark val="none"/>
        <c:tickLblPos val="nextTo"/>
        <c:crossAx val="1918289391"/>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Engine!PivotTable15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Engine'!$B$26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1F-4908-A8CD-FB9F39B611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1F-4908-A8CD-FB9F39B611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1F-4908-A8CD-FB9F39B611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Engine'!$A$27:$A$30</c:f>
              <c:strCache>
                <c:ptCount val="3"/>
                <c:pt idx="0">
                  <c:v>cosmetics</c:v>
                </c:pt>
                <c:pt idx="1">
                  <c:v>haircare</c:v>
                </c:pt>
                <c:pt idx="2">
                  <c:v>skincare</c:v>
                </c:pt>
              </c:strCache>
            </c:strRef>
          </c:cat>
          <c:val>
            <c:numRef>
              <c:f>'Pivot Engine'!$B$27:$B$30</c:f>
              <c:numCache>
                <c:formatCode>0.00%</c:formatCode>
                <c:ptCount val="3"/>
                <c:pt idx="0">
                  <c:v>0.27963974782551793</c:v>
                </c:pt>
                <c:pt idx="1">
                  <c:v>0.30203243635022942</c:v>
                </c:pt>
                <c:pt idx="2">
                  <c:v>0.41832781582425266</c:v>
                </c:pt>
              </c:numCache>
            </c:numRef>
          </c:val>
          <c:extLst>
            <c:ext xmlns:c16="http://schemas.microsoft.com/office/drawing/2014/chart" uri="{C3380CC4-5D6E-409C-BE32-E72D297353CC}">
              <c16:uniqueId val="{00000000-1CE3-493E-84C2-EA731608F26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Engine!PivotTable16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a:t>
            </a:r>
            <a:r>
              <a:rPr lang="en-US" baseline="0"/>
              <a:t> Shipping Carriers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Engine'!$B$40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Engine'!$A$41:$A$44</c:f>
              <c:strCache>
                <c:ptCount val="3"/>
                <c:pt idx="0">
                  <c:v>Carrier A</c:v>
                </c:pt>
                <c:pt idx="1">
                  <c:v>Carrier B</c:v>
                </c:pt>
                <c:pt idx="2">
                  <c:v>Carrier C</c:v>
                </c:pt>
              </c:strCache>
            </c:strRef>
          </c:cat>
          <c:val>
            <c:numRef>
              <c:f>'Pivot Engine'!$B$41:$B$44</c:f>
              <c:numCache>
                <c:formatCode>[$₹-439]#,##0</c:formatCode>
                <c:ptCount val="3"/>
                <c:pt idx="0">
                  <c:v>142629.99480000001</c:v>
                </c:pt>
                <c:pt idx="1">
                  <c:v>250094.64689999999</c:v>
                </c:pt>
                <c:pt idx="2">
                  <c:v>184880.17719999998</c:v>
                </c:pt>
              </c:numCache>
            </c:numRef>
          </c:val>
          <c:extLst>
            <c:ext xmlns:c16="http://schemas.microsoft.com/office/drawing/2014/chart" uri="{C3380CC4-5D6E-409C-BE32-E72D297353CC}">
              <c16:uniqueId val="{00000000-6A6A-4F78-8237-85B058DBC739}"/>
            </c:ext>
          </c:extLst>
        </c:ser>
        <c:dLbls>
          <c:dLblPos val="outEnd"/>
          <c:showLegendKey val="0"/>
          <c:showVal val="1"/>
          <c:showCatName val="0"/>
          <c:showSerName val="0"/>
          <c:showPercent val="0"/>
          <c:showBubbleSize val="0"/>
        </c:dLbls>
        <c:gapWidth val="115"/>
        <c:overlap val="-20"/>
        <c:axId val="2055045887"/>
        <c:axId val="1163974255"/>
      </c:barChart>
      <c:catAx>
        <c:axId val="20550458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74255"/>
        <c:crosses val="autoZero"/>
        <c:auto val="1"/>
        <c:lblAlgn val="ctr"/>
        <c:lblOffset val="100"/>
        <c:noMultiLvlLbl val="0"/>
      </c:catAx>
      <c:valAx>
        <c:axId val="1163974255"/>
        <c:scaling>
          <c:orientation val="minMax"/>
        </c:scaling>
        <c:delete val="1"/>
        <c:axPos val="b"/>
        <c:numFmt formatCode="[$₹-439]#,##0" sourceLinked="1"/>
        <c:majorTickMark val="none"/>
        <c:minorTickMark val="none"/>
        <c:tickLblPos val="nextTo"/>
        <c:crossAx val="2055045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Engine!PivotTable17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SKU</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Engine'!$B$54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Engine'!$A$55:$A$155</c:f>
              <c:strCache>
                <c:ptCount val="100"/>
                <c:pt idx="0">
                  <c:v>SKU51</c:v>
                </c:pt>
                <c:pt idx="1">
                  <c:v>SKU38</c:v>
                </c:pt>
                <c:pt idx="2">
                  <c:v>SKU31</c:v>
                </c:pt>
                <c:pt idx="3">
                  <c:v>SKU90</c:v>
                </c:pt>
                <c:pt idx="4">
                  <c:v>SKU2</c:v>
                </c:pt>
                <c:pt idx="5">
                  <c:v>SKU32</c:v>
                </c:pt>
                <c:pt idx="6">
                  <c:v>SKU67</c:v>
                </c:pt>
                <c:pt idx="7">
                  <c:v>SKU88</c:v>
                </c:pt>
                <c:pt idx="8">
                  <c:v>SKU52</c:v>
                </c:pt>
                <c:pt idx="9">
                  <c:v>SKU18</c:v>
                </c:pt>
                <c:pt idx="10">
                  <c:v>SKU99</c:v>
                </c:pt>
                <c:pt idx="11">
                  <c:v>SKU34</c:v>
                </c:pt>
                <c:pt idx="12">
                  <c:v>SKU24</c:v>
                </c:pt>
                <c:pt idx="13">
                  <c:v>SKU60</c:v>
                </c:pt>
                <c:pt idx="14">
                  <c:v>SKU23</c:v>
                </c:pt>
                <c:pt idx="15">
                  <c:v>SKU85</c:v>
                </c:pt>
                <c:pt idx="16">
                  <c:v>SKU0</c:v>
                </c:pt>
                <c:pt idx="17">
                  <c:v>SKU14</c:v>
                </c:pt>
                <c:pt idx="18">
                  <c:v>SKU80</c:v>
                </c:pt>
                <c:pt idx="19">
                  <c:v>SKU98</c:v>
                </c:pt>
                <c:pt idx="20">
                  <c:v>SKU7</c:v>
                </c:pt>
                <c:pt idx="21">
                  <c:v>SKU64</c:v>
                </c:pt>
                <c:pt idx="22">
                  <c:v>SKU66</c:v>
                </c:pt>
                <c:pt idx="23">
                  <c:v>SKU65</c:v>
                </c:pt>
                <c:pt idx="24">
                  <c:v>SKU29</c:v>
                </c:pt>
                <c:pt idx="25">
                  <c:v>SKU53</c:v>
                </c:pt>
                <c:pt idx="26">
                  <c:v>SKU71</c:v>
                </c:pt>
                <c:pt idx="27">
                  <c:v>SKU20</c:v>
                </c:pt>
                <c:pt idx="28">
                  <c:v>SKU49</c:v>
                </c:pt>
                <c:pt idx="29">
                  <c:v>SKU73</c:v>
                </c:pt>
                <c:pt idx="30">
                  <c:v>SKU79</c:v>
                </c:pt>
                <c:pt idx="31">
                  <c:v>SKU94</c:v>
                </c:pt>
                <c:pt idx="32">
                  <c:v>SKU6</c:v>
                </c:pt>
                <c:pt idx="33">
                  <c:v>SKU3</c:v>
                </c:pt>
                <c:pt idx="34">
                  <c:v>SKU96</c:v>
                </c:pt>
                <c:pt idx="35">
                  <c:v>SKU36</c:v>
                </c:pt>
                <c:pt idx="36">
                  <c:v>SKU8</c:v>
                </c:pt>
                <c:pt idx="37">
                  <c:v>SKU1</c:v>
                </c:pt>
                <c:pt idx="38">
                  <c:v>SKU48</c:v>
                </c:pt>
                <c:pt idx="39">
                  <c:v>SKU95</c:v>
                </c:pt>
                <c:pt idx="40">
                  <c:v>SKU44</c:v>
                </c:pt>
                <c:pt idx="41">
                  <c:v>SKU47</c:v>
                </c:pt>
                <c:pt idx="42">
                  <c:v>SKU21</c:v>
                </c:pt>
                <c:pt idx="43">
                  <c:v>SKU70</c:v>
                </c:pt>
                <c:pt idx="44">
                  <c:v>SKU61</c:v>
                </c:pt>
                <c:pt idx="45">
                  <c:v>SKU35</c:v>
                </c:pt>
                <c:pt idx="46">
                  <c:v>SKU16</c:v>
                </c:pt>
                <c:pt idx="47">
                  <c:v>SKU28</c:v>
                </c:pt>
                <c:pt idx="48">
                  <c:v>SKU11</c:v>
                </c:pt>
                <c:pt idx="49">
                  <c:v>SKU54</c:v>
                </c:pt>
                <c:pt idx="50">
                  <c:v>SKU89</c:v>
                </c:pt>
                <c:pt idx="51">
                  <c:v>SKU50</c:v>
                </c:pt>
                <c:pt idx="52">
                  <c:v>SKU43</c:v>
                </c:pt>
                <c:pt idx="53">
                  <c:v>SKU40</c:v>
                </c:pt>
                <c:pt idx="54">
                  <c:v>SKU74</c:v>
                </c:pt>
                <c:pt idx="55">
                  <c:v>SKU41</c:v>
                </c:pt>
                <c:pt idx="56">
                  <c:v>SKU15</c:v>
                </c:pt>
                <c:pt idx="57">
                  <c:v>SKU76</c:v>
                </c:pt>
                <c:pt idx="58">
                  <c:v>SKU45</c:v>
                </c:pt>
                <c:pt idx="59">
                  <c:v>SKU33</c:v>
                </c:pt>
                <c:pt idx="60">
                  <c:v>SKU87</c:v>
                </c:pt>
                <c:pt idx="61">
                  <c:v>SKU9</c:v>
                </c:pt>
                <c:pt idx="62">
                  <c:v>SKU56</c:v>
                </c:pt>
                <c:pt idx="63">
                  <c:v>SKU93</c:v>
                </c:pt>
                <c:pt idx="64">
                  <c:v>SKU81</c:v>
                </c:pt>
                <c:pt idx="65">
                  <c:v>SKU97</c:v>
                </c:pt>
                <c:pt idx="66">
                  <c:v>SKU63</c:v>
                </c:pt>
                <c:pt idx="67">
                  <c:v>SKU13</c:v>
                </c:pt>
                <c:pt idx="68">
                  <c:v>SKU62</c:v>
                </c:pt>
                <c:pt idx="69">
                  <c:v>SKU26</c:v>
                </c:pt>
                <c:pt idx="70">
                  <c:v>SKU68</c:v>
                </c:pt>
                <c:pt idx="71">
                  <c:v>SKU82</c:v>
                </c:pt>
                <c:pt idx="72">
                  <c:v>SKU55</c:v>
                </c:pt>
                <c:pt idx="73">
                  <c:v>SKU12</c:v>
                </c:pt>
                <c:pt idx="74">
                  <c:v>SKU5</c:v>
                </c:pt>
                <c:pt idx="75">
                  <c:v>SKU30</c:v>
                </c:pt>
                <c:pt idx="76">
                  <c:v>SKU4</c:v>
                </c:pt>
                <c:pt idx="77">
                  <c:v>SKU27</c:v>
                </c:pt>
                <c:pt idx="78">
                  <c:v>SKU72</c:v>
                </c:pt>
                <c:pt idx="79">
                  <c:v>SKU17</c:v>
                </c:pt>
                <c:pt idx="80">
                  <c:v>SKU46</c:v>
                </c:pt>
                <c:pt idx="81">
                  <c:v>SKU19</c:v>
                </c:pt>
                <c:pt idx="82">
                  <c:v>SKU77</c:v>
                </c:pt>
                <c:pt idx="83">
                  <c:v>SKU37</c:v>
                </c:pt>
                <c:pt idx="84">
                  <c:v>SKU83</c:v>
                </c:pt>
                <c:pt idx="85">
                  <c:v>SKU22</c:v>
                </c:pt>
                <c:pt idx="86">
                  <c:v>SKU10</c:v>
                </c:pt>
                <c:pt idx="87">
                  <c:v>SKU25</c:v>
                </c:pt>
                <c:pt idx="88">
                  <c:v>SKU92</c:v>
                </c:pt>
                <c:pt idx="89">
                  <c:v>SKU84</c:v>
                </c:pt>
                <c:pt idx="90">
                  <c:v>SKU58</c:v>
                </c:pt>
                <c:pt idx="91">
                  <c:v>SKU91</c:v>
                </c:pt>
                <c:pt idx="92">
                  <c:v>SKU39</c:v>
                </c:pt>
                <c:pt idx="93">
                  <c:v>SKU75</c:v>
                </c:pt>
                <c:pt idx="94">
                  <c:v>SKU42</c:v>
                </c:pt>
                <c:pt idx="95">
                  <c:v>SKU69</c:v>
                </c:pt>
                <c:pt idx="96">
                  <c:v>SKU57</c:v>
                </c:pt>
                <c:pt idx="97">
                  <c:v>SKU78</c:v>
                </c:pt>
                <c:pt idx="98">
                  <c:v>SKU86</c:v>
                </c:pt>
                <c:pt idx="99">
                  <c:v>SKU59</c:v>
                </c:pt>
              </c:strCache>
            </c:strRef>
          </c:cat>
          <c:val>
            <c:numRef>
              <c:f>'Pivot Engine'!$B$55:$B$155</c:f>
              <c:numCache>
                <c:formatCode>[$₹-439]#,##0</c:formatCode>
                <c:ptCount val="100"/>
                <c:pt idx="0">
                  <c:v>9866.4655000000002</c:v>
                </c:pt>
                <c:pt idx="1">
                  <c:v>9692.3179999999993</c:v>
                </c:pt>
                <c:pt idx="2">
                  <c:v>9655.1350999999995</c:v>
                </c:pt>
                <c:pt idx="3">
                  <c:v>9592.6335999999992</c:v>
                </c:pt>
                <c:pt idx="4">
                  <c:v>9577.7495999999992</c:v>
                </c:pt>
                <c:pt idx="5">
                  <c:v>9571.5504999999994</c:v>
                </c:pt>
                <c:pt idx="6">
                  <c:v>9473.7980000000007</c:v>
                </c:pt>
                <c:pt idx="7">
                  <c:v>9444.7420000000002</c:v>
                </c:pt>
                <c:pt idx="8">
                  <c:v>9435.7626</c:v>
                </c:pt>
                <c:pt idx="9">
                  <c:v>9364.6735000000008</c:v>
                </c:pt>
                <c:pt idx="10">
                  <c:v>9185.1857999999993</c:v>
                </c:pt>
                <c:pt idx="11">
                  <c:v>9061.7109</c:v>
                </c:pt>
                <c:pt idx="12">
                  <c:v>9049.0779000000002</c:v>
                </c:pt>
                <c:pt idx="13">
                  <c:v>8864.0843000000004</c:v>
                </c:pt>
                <c:pt idx="14">
                  <c:v>8858.3675999999996</c:v>
                </c:pt>
                <c:pt idx="15">
                  <c:v>8684.6131000000005</c:v>
                </c:pt>
                <c:pt idx="16">
                  <c:v>8661.9968000000008</c:v>
                </c:pt>
                <c:pt idx="17">
                  <c:v>8653.5709000000006</c:v>
                </c:pt>
                <c:pt idx="18">
                  <c:v>8651.6726999999992</c:v>
                </c:pt>
                <c:pt idx="19">
                  <c:v>8525.9526000000005</c:v>
                </c:pt>
                <c:pt idx="20">
                  <c:v>8496.1038000000008</c:v>
                </c:pt>
                <c:pt idx="21">
                  <c:v>8458.7309000000005</c:v>
                </c:pt>
                <c:pt idx="22">
                  <c:v>8367.7216000000008</c:v>
                </c:pt>
                <c:pt idx="23">
                  <c:v>8354.5797000000002</c:v>
                </c:pt>
                <c:pt idx="24">
                  <c:v>8318.9032000000007</c:v>
                </c:pt>
                <c:pt idx="25">
                  <c:v>8232.3348000000005</c:v>
                </c:pt>
                <c:pt idx="26">
                  <c:v>8180.3370999999997</c:v>
                </c:pt>
                <c:pt idx="27">
                  <c:v>8128.0276999999996</c:v>
                </c:pt>
                <c:pt idx="28">
                  <c:v>8001.6131999999998</c:v>
                </c:pt>
                <c:pt idx="29">
                  <c:v>7910.8869000000004</c:v>
                </c:pt>
                <c:pt idx="30">
                  <c:v>7888.7232999999997</c:v>
                </c:pt>
                <c:pt idx="31">
                  <c:v>7888.3564999999999</c:v>
                </c:pt>
                <c:pt idx="32">
                  <c:v>7823.4766</c:v>
                </c:pt>
                <c:pt idx="33">
                  <c:v>7766.8364000000001</c:v>
                </c:pt>
                <c:pt idx="34">
                  <c:v>7698.4247999999998</c:v>
                </c:pt>
                <c:pt idx="35">
                  <c:v>7573.4025000000001</c:v>
                </c:pt>
                <c:pt idx="36">
                  <c:v>7517.3631999999998</c:v>
                </c:pt>
                <c:pt idx="37">
                  <c:v>7460.9000999999998</c:v>
                </c:pt>
                <c:pt idx="38">
                  <c:v>7397.0709999999999</c:v>
                </c:pt>
                <c:pt idx="39">
                  <c:v>7386.3639000000003</c:v>
                </c:pt>
                <c:pt idx="40">
                  <c:v>7152.2860000000001</c:v>
                </c:pt>
                <c:pt idx="41">
                  <c:v>7089.4741999999997</c:v>
                </c:pt>
                <c:pt idx="42">
                  <c:v>7087.0527000000002</c:v>
                </c:pt>
                <c:pt idx="43">
                  <c:v>7014.8879999999999</c:v>
                </c:pt>
                <c:pt idx="44">
                  <c:v>6885.5893999999998</c:v>
                </c:pt>
                <c:pt idx="45">
                  <c:v>6541.3293000000003</c:v>
                </c:pt>
                <c:pt idx="46">
                  <c:v>6453.7979999999998</c:v>
                </c:pt>
                <c:pt idx="47">
                  <c:v>6117.3245999999999</c:v>
                </c:pt>
                <c:pt idx="48">
                  <c:v>6099.9440999999997</c:v>
                </c:pt>
                <c:pt idx="49">
                  <c:v>6088.0214999999998</c:v>
                </c:pt>
                <c:pt idx="50">
                  <c:v>5924.6826000000001</c:v>
                </c:pt>
                <c:pt idx="51">
                  <c:v>5910.8854000000001</c:v>
                </c:pt>
                <c:pt idx="52">
                  <c:v>5737.4255999999996</c:v>
                </c:pt>
                <c:pt idx="53">
                  <c:v>5724.9593999999997</c:v>
                </c:pt>
                <c:pt idx="54">
                  <c:v>5709.9453000000003</c:v>
                </c:pt>
                <c:pt idx="55">
                  <c:v>5521.2052999999996</c:v>
                </c:pt>
                <c:pt idx="56">
                  <c:v>5442.0868</c:v>
                </c:pt>
                <c:pt idx="57">
                  <c:v>5328.3760000000002</c:v>
                </c:pt>
                <c:pt idx="58">
                  <c:v>5267.9567999999999</c:v>
                </c:pt>
                <c:pt idx="59">
                  <c:v>5149.9984000000004</c:v>
                </c:pt>
                <c:pt idx="60">
                  <c:v>5133.8467000000001</c:v>
                </c:pt>
                <c:pt idx="61">
                  <c:v>4971.1459999999997</c:v>
                </c:pt>
                <c:pt idx="62">
                  <c:v>4767.0204999999996</c:v>
                </c:pt>
                <c:pt idx="63">
                  <c:v>4531.4021000000002</c:v>
                </c:pt>
                <c:pt idx="64">
                  <c:v>4384.4134000000004</c:v>
                </c:pt>
                <c:pt idx="65">
                  <c:v>4370.9165999999996</c:v>
                </c:pt>
                <c:pt idx="66">
                  <c:v>4256.9490999999998</c:v>
                </c:pt>
                <c:pt idx="67">
                  <c:v>4052.7384000000002</c:v>
                </c:pt>
                <c:pt idx="68">
                  <c:v>3899.7467999999999</c:v>
                </c:pt>
                <c:pt idx="69">
                  <c:v>3716.4933000000001</c:v>
                </c:pt>
                <c:pt idx="70">
                  <c:v>3550.2184000000002</c:v>
                </c:pt>
                <c:pt idx="71">
                  <c:v>2943.3818999999999</c:v>
                </c:pt>
                <c:pt idx="72">
                  <c:v>2925.6752000000001</c:v>
                </c:pt>
                <c:pt idx="73">
                  <c:v>2873.7413999999999</c:v>
                </c:pt>
                <c:pt idx="74">
                  <c:v>2828.3487</c:v>
                </c:pt>
                <c:pt idx="75">
                  <c:v>2766.3424</c:v>
                </c:pt>
                <c:pt idx="76">
                  <c:v>2686.5052000000001</c:v>
                </c:pt>
                <c:pt idx="77">
                  <c:v>2686.4571999999998</c:v>
                </c:pt>
                <c:pt idx="78">
                  <c:v>2633.1219999999998</c:v>
                </c:pt>
                <c:pt idx="79">
                  <c:v>2629.3964000000001</c:v>
                </c:pt>
                <c:pt idx="80">
                  <c:v>2556.7674000000002</c:v>
                </c:pt>
                <c:pt idx="81">
                  <c:v>2553.4956000000002</c:v>
                </c:pt>
                <c:pt idx="82">
                  <c:v>2483.7602000000002</c:v>
                </c:pt>
                <c:pt idx="83">
                  <c:v>2438.3398999999999</c:v>
                </c:pt>
                <c:pt idx="84">
                  <c:v>2411.7546000000002</c:v>
                </c:pt>
                <c:pt idx="85">
                  <c:v>2390.8078999999998</c:v>
                </c:pt>
                <c:pt idx="86">
                  <c:v>2330.9657999999999</c:v>
                </c:pt>
                <c:pt idx="87">
                  <c:v>2174.7770999999998</c:v>
                </c:pt>
                <c:pt idx="88">
                  <c:v>2100.1298000000002</c:v>
                </c:pt>
                <c:pt idx="89">
                  <c:v>2048.2901000000002</c:v>
                </c:pt>
                <c:pt idx="90">
                  <c:v>2021.1497999999999</c:v>
                </c:pt>
                <c:pt idx="91">
                  <c:v>1935.2067999999999</c:v>
                </c:pt>
                <c:pt idx="92">
                  <c:v>1912.4657</c:v>
                </c:pt>
                <c:pt idx="93">
                  <c:v>1889.0735999999999</c:v>
                </c:pt>
                <c:pt idx="94">
                  <c:v>1839.6094000000001</c:v>
                </c:pt>
                <c:pt idx="95">
                  <c:v>1752.3811000000001</c:v>
                </c:pt>
                <c:pt idx="96">
                  <c:v>1605.8669</c:v>
                </c:pt>
                <c:pt idx="97">
                  <c:v>1292.4584</c:v>
                </c:pt>
                <c:pt idx="98">
                  <c:v>1229.5909999999999</c:v>
                </c:pt>
                <c:pt idx="99">
                  <c:v>1061.6185</c:v>
                </c:pt>
              </c:numCache>
            </c:numRef>
          </c:val>
          <c:smooth val="0"/>
          <c:extLst>
            <c:ext xmlns:c16="http://schemas.microsoft.com/office/drawing/2014/chart" uri="{C3380CC4-5D6E-409C-BE32-E72D297353CC}">
              <c16:uniqueId val="{00000000-44DE-4F55-A773-C1283248D608}"/>
            </c:ext>
          </c:extLst>
        </c:ser>
        <c:dLbls>
          <c:showLegendKey val="0"/>
          <c:showVal val="0"/>
          <c:showCatName val="0"/>
          <c:showSerName val="0"/>
          <c:showPercent val="0"/>
          <c:showBubbleSize val="0"/>
        </c:dLbls>
        <c:marker val="1"/>
        <c:smooth val="0"/>
        <c:axId val="2055108991"/>
        <c:axId val="1163944975"/>
      </c:lineChart>
      <c:catAx>
        <c:axId val="2055108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44975"/>
        <c:crosses val="autoZero"/>
        <c:auto val="1"/>
        <c:lblAlgn val="ctr"/>
        <c:lblOffset val="100"/>
        <c:noMultiLvlLbl val="0"/>
      </c:catAx>
      <c:valAx>
        <c:axId val="1163944975"/>
        <c:scaling>
          <c:orientation val="minMax"/>
        </c:scaling>
        <c:delete val="0"/>
        <c:axPos val="l"/>
        <c:majorGridlines>
          <c:spPr>
            <a:ln w="9525" cap="flat" cmpd="sng" algn="ctr">
              <a:solidFill>
                <a:schemeClr val="lt1">
                  <a:lumMod val="95000"/>
                  <a:alpha val="10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10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Engine!PivotTable18</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STOCK</a:t>
            </a:r>
            <a:r>
              <a:rPr lang="en-US" baseline="0"/>
              <a:t> LEVE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Engine'!$B$159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Engine'!$A$160:$A$260</c:f>
              <c:strCache>
                <c:ptCount val="100"/>
                <c:pt idx="0">
                  <c:v>SKU12</c:v>
                </c:pt>
                <c:pt idx="1">
                  <c:v>SKU59</c:v>
                </c:pt>
                <c:pt idx="2">
                  <c:v>SKU51</c:v>
                </c:pt>
                <c:pt idx="3">
                  <c:v>SKU91</c:v>
                </c:pt>
                <c:pt idx="4">
                  <c:v>SKU49</c:v>
                </c:pt>
                <c:pt idx="5">
                  <c:v>SKU55</c:v>
                </c:pt>
                <c:pt idx="6">
                  <c:v>SKU77</c:v>
                </c:pt>
                <c:pt idx="7">
                  <c:v>SKU53</c:v>
                </c:pt>
                <c:pt idx="8">
                  <c:v>SKU69</c:v>
                </c:pt>
                <c:pt idx="9">
                  <c:v>SKU7</c:v>
                </c:pt>
                <c:pt idx="10">
                  <c:v>SKU45</c:v>
                </c:pt>
                <c:pt idx="11">
                  <c:v>SKU46</c:v>
                </c:pt>
                <c:pt idx="12">
                  <c:v>SKU92</c:v>
                </c:pt>
                <c:pt idx="13">
                  <c:v>SKU89</c:v>
                </c:pt>
                <c:pt idx="14">
                  <c:v>SKU40</c:v>
                </c:pt>
                <c:pt idx="15">
                  <c:v>SKU5</c:v>
                </c:pt>
                <c:pt idx="16">
                  <c:v>SKU32</c:v>
                </c:pt>
                <c:pt idx="17">
                  <c:v>SKU62</c:v>
                </c:pt>
                <c:pt idx="18">
                  <c:v>SKU23</c:v>
                </c:pt>
                <c:pt idx="19">
                  <c:v>SKU25</c:v>
                </c:pt>
                <c:pt idx="20">
                  <c:v>SKU13</c:v>
                </c:pt>
                <c:pt idx="21">
                  <c:v>SKU39</c:v>
                </c:pt>
                <c:pt idx="22">
                  <c:v>SKU94</c:v>
                </c:pt>
                <c:pt idx="23">
                  <c:v>SKU71</c:v>
                </c:pt>
                <c:pt idx="24">
                  <c:v>SKU84</c:v>
                </c:pt>
                <c:pt idx="25">
                  <c:v>SKU64</c:v>
                </c:pt>
                <c:pt idx="26">
                  <c:v>SKU22</c:v>
                </c:pt>
                <c:pt idx="27">
                  <c:v>SKU21</c:v>
                </c:pt>
                <c:pt idx="28">
                  <c:v>SKU38</c:v>
                </c:pt>
                <c:pt idx="29">
                  <c:v>SKU96</c:v>
                </c:pt>
                <c:pt idx="30">
                  <c:v>SKU90</c:v>
                </c:pt>
                <c:pt idx="31">
                  <c:v>SKU83</c:v>
                </c:pt>
                <c:pt idx="32">
                  <c:v>SKU41</c:v>
                </c:pt>
                <c:pt idx="33">
                  <c:v>SKU52</c:v>
                </c:pt>
                <c:pt idx="34">
                  <c:v>SKU93</c:v>
                </c:pt>
                <c:pt idx="35">
                  <c:v>SKU88</c:v>
                </c:pt>
                <c:pt idx="36">
                  <c:v>SKU30</c:v>
                </c:pt>
                <c:pt idx="37">
                  <c:v>SKU26</c:v>
                </c:pt>
                <c:pt idx="38">
                  <c:v>SKU0</c:v>
                </c:pt>
                <c:pt idx="39">
                  <c:v>SKU72</c:v>
                </c:pt>
                <c:pt idx="40">
                  <c:v>SKU65</c:v>
                </c:pt>
                <c:pt idx="41">
                  <c:v>SKU99</c:v>
                </c:pt>
                <c:pt idx="42">
                  <c:v>SKU14</c:v>
                </c:pt>
                <c:pt idx="43">
                  <c:v>SKU63</c:v>
                </c:pt>
                <c:pt idx="44">
                  <c:v>SKU98</c:v>
                </c:pt>
                <c:pt idx="45">
                  <c:v>SKU1</c:v>
                </c:pt>
                <c:pt idx="46">
                  <c:v>SKU10</c:v>
                </c:pt>
                <c:pt idx="47">
                  <c:v>SKU28</c:v>
                </c:pt>
                <c:pt idx="48">
                  <c:v>SKU81</c:v>
                </c:pt>
                <c:pt idx="49">
                  <c:v>SKU19</c:v>
                </c:pt>
                <c:pt idx="50">
                  <c:v>SKU27</c:v>
                </c:pt>
                <c:pt idx="51">
                  <c:v>SKU11</c:v>
                </c:pt>
                <c:pt idx="52">
                  <c:v>SKU97</c:v>
                </c:pt>
                <c:pt idx="53">
                  <c:v>SKU17</c:v>
                </c:pt>
                <c:pt idx="54">
                  <c:v>SKU29</c:v>
                </c:pt>
                <c:pt idx="55">
                  <c:v>SKU82</c:v>
                </c:pt>
                <c:pt idx="56">
                  <c:v>SKU35</c:v>
                </c:pt>
                <c:pt idx="57">
                  <c:v>SKU60</c:v>
                </c:pt>
                <c:pt idx="58">
                  <c:v>SKU74</c:v>
                </c:pt>
                <c:pt idx="59">
                  <c:v>SKU80</c:v>
                </c:pt>
                <c:pt idx="60">
                  <c:v>SKU76</c:v>
                </c:pt>
                <c:pt idx="61">
                  <c:v>SKU43</c:v>
                </c:pt>
                <c:pt idx="62">
                  <c:v>SKU54</c:v>
                </c:pt>
                <c:pt idx="63">
                  <c:v>SKU61</c:v>
                </c:pt>
                <c:pt idx="64">
                  <c:v>SKU86</c:v>
                </c:pt>
                <c:pt idx="65">
                  <c:v>SKU50</c:v>
                </c:pt>
                <c:pt idx="66">
                  <c:v>SKU79</c:v>
                </c:pt>
                <c:pt idx="67">
                  <c:v>SKU48</c:v>
                </c:pt>
                <c:pt idx="68">
                  <c:v>SKU20</c:v>
                </c:pt>
                <c:pt idx="69">
                  <c:v>SKU56</c:v>
                </c:pt>
                <c:pt idx="70">
                  <c:v>SKU37</c:v>
                </c:pt>
                <c:pt idx="71">
                  <c:v>SKU3</c:v>
                </c:pt>
                <c:pt idx="72">
                  <c:v>SKU42</c:v>
                </c:pt>
                <c:pt idx="73">
                  <c:v>SKU36</c:v>
                </c:pt>
                <c:pt idx="74">
                  <c:v>SKU73</c:v>
                </c:pt>
                <c:pt idx="75">
                  <c:v>SKU75</c:v>
                </c:pt>
                <c:pt idx="76">
                  <c:v>SKU95</c:v>
                </c:pt>
                <c:pt idx="77">
                  <c:v>SKU85</c:v>
                </c:pt>
                <c:pt idx="78">
                  <c:v>SKU9</c:v>
                </c:pt>
                <c:pt idx="79">
                  <c:v>SKU66</c:v>
                </c:pt>
                <c:pt idx="80">
                  <c:v>SKU44</c:v>
                </c:pt>
                <c:pt idx="81">
                  <c:v>SKU67</c:v>
                </c:pt>
                <c:pt idx="82">
                  <c:v>SKU6</c:v>
                </c:pt>
                <c:pt idx="83">
                  <c:v>SKU58</c:v>
                </c:pt>
                <c:pt idx="84">
                  <c:v>SKU18</c:v>
                </c:pt>
                <c:pt idx="85">
                  <c:v>SKU70</c:v>
                </c:pt>
                <c:pt idx="86">
                  <c:v>SKU15</c:v>
                </c:pt>
                <c:pt idx="87">
                  <c:v>SKU31</c:v>
                </c:pt>
                <c:pt idx="88">
                  <c:v>SKU8</c:v>
                </c:pt>
                <c:pt idx="89">
                  <c:v>SKU87</c:v>
                </c:pt>
                <c:pt idx="90">
                  <c:v>SKU4</c:v>
                </c:pt>
                <c:pt idx="91">
                  <c:v>SKU78</c:v>
                </c:pt>
                <c:pt idx="92">
                  <c:v>SKU57</c:v>
                </c:pt>
                <c:pt idx="93">
                  <c:v>SKU24</c:v>
                </c:pt>
                <c:pt idx="94">
                  <c:v>SKU47</c:v>
                </c:pt>
                <c:pt idx="95">
                  <c:v>SKU33</c:v>
                </c:pt>
                <c:pt idx="96">
                  <c:v>SKU16</c:v>
                </c:pt>
                <c:pt idx="97">
                  <c:v>SKU2</c:v>
                </c:pt>
                <c:pt idx="98">
                  <c:v>SKU34</c:v>
                </c:pt>
                <c:pt idx="99">
                  <c:v>SKU68</c:v>
                </c:pt>
              </c:strCache>
            </c:strRef>
          </c:cat>
          <c:val>
            <c:numRef>
              <c:f>'Pivot Engine'!$B$160:$B$260</c:f>
              <c:numCache>
                <c:formatCode>0</c:formatCode>
                <c:ptCount val="100"/>
                <c:pt idx="0">
                  <c:v>100</c:v>
                </c:pt>
                <c:pt idx="1">
                  <c:v>100</c:v>
                </c:pt>
                <c:pt idx="2">
                  <c:v>100</c:v>
                </c:pt>
                <c:pt idx="3">
                  <c:v>98</c:v>
                </c:pt>
                <c:pt idx="4">
                  <c:v>97</c:v>
                </c:pt>
                <c:pt idx="5">
                  <c:v>97</c:v>
                </c:pt>
                <c:pt idx="6">
                  <c:v>96</c:v>
                </c:pt>
                <c:pt idx="7">
                  <c:v>96</c:v>
                </c:pt>
                <c:pt idx="8">
                  <c:v>95</c:v>
                </c:pt>
                <c:pt idx="9">
                  <c:v>93</c:v>
                </c:pt>
                <c:pt idx="10">
                  <c:v>93</c:v>
                </c:pt>
                <c:pt idx="11">
                  <c:v>92</c:v>
                </c:pt>
                <c:pt idx="12">
                  <c:v>90</c:v>
                </c:pt>
                <c:pt idx="13">
                  <c:v>90</c:v>
                </c:pt>
                <c:pt idx="14">
                  <c:v>90</c:v>
                </c:pt>
                <c:pt idx="15">
                  <c:v>90</c:v>
                </c:pt>
                <c:pt idx="16">
                  <c:v>89</c:v>
                </c:pt>
                <c:pt idx="17">
                  <c:v>86</c:v>
                </c:pt>
                <c:pt idx="18">
                  <c:v>84</c:v>
                </c:pt>
                <c:pt idx="19">
                  <c:v>82</c:v>
                </c:pt>
                <c:pt idx="20">
                  <c:v>80</c:v>
                </c:pt>
                <c:pt idx="21">
                  <c:v>78</c:v>
                </c:pt>
                <c:pt idx="22">
                  <c:v>77</c:v>
                </c:pt>
                <c:pt idx="23">
                  <c:v>76</c:v>
                </c:pt>
                <c:pt idx="24">
                  <c:v>73</c:v>
                </c:pt>
                <c:pt idx="25">
                  <c:v>73</c:v>
                </c:pt>
                <c:pt idx="26">
                  <c:v>71</c:v>
                </c:pt>
                <c:pt idx="27">
                  <c:v>69</c:v>
                </c:pt>
                <c:pt idx="28">
                  <c:v>69</c:v>
                </c:pt>
                <c:pt idx="29">
                  <c:v>67</c:v>
                </c:pt>
                <c:pt idx="30">
                  <c:v>66</c:v>
                </c:pt>
                <c:pt idx="31">
                  <c:v>65</c:v>
                </c:pt>
                <c:pt idx="32">
                  <c:v>64</c:v>
                </c:pt>
                <c:pt idx="33">
                  <c:v>64</c:v>
                </c:pt>
                <c:pt idx="34">
                  <c:v>63</c:v>
                </c:pt>
                <c:pt idx="35">
                  <c:v>60</c:v>
                </c:pt>
                <c:pt idx="36">
                  <c:v>60</c:v>
                </c:pt>
                <c:pt idx="37">
                  <c:v>59</c:v>
                </c:pt>
                <c:pt idx="38">
                  <c:v>58</c:v>
                </c:pt>
                <c:pt idx="39">
                  <c:v>57</c:v>
                </c:pt>
                <c:pt idx="40">
                  <c:v>57</c:v>
                </c:pt>
                <c:pt idx="41">
                  <c:v>55</c:v>
                </c:pt>
                <c:pt idx="42">
                  <c:v>54</c:v>
                </c:pt>
                <c:pt idx="43">
                  <c:v>54</c:v>
                </c:pt>
                <c:pt idx="44">
                  <c:v>53</c:v>
                </c:pt>
                <c:pt idx="45">
                  <c:v>53</c:v>
                </c:pt>
                <c:pt idx="46">
                  <c:v>51</c:v>
                </c:pt>
                <c:pt idx="47">
                  <c:v>48</c:v>
                </c:pt>
                <c:pt idx="48">
                  <c:v>48</c:v>
                </c:pt>
                <c:pt idx="49">
                  <c:v>48</c:v>
                </c:pt>
                <c:pt idx="50">
                  <c:v>47</c:v>
                </c:pt>
                <c:pt idx="51">
                  <c:v>46</c:v>
                </c:pt>
                <c:pt idx="52">
                  <c:v>46</c:v>
                </c:pt>
                <c:pt idx="53">
                  <c:v>45</c:v>
                </c:pt>
                <c:pt idx="54">
                  <c:v>45</c:v>
                </c:pt>
                <c:pt idx="55">
                  <c:v>42</c:v>
                </c:pt>
                <c:pt idx="56">
                  <c:v>42</c:v>
                </c:pt>
                <c:pt idx="57">
                  <c:v>41</c:v>
                </c:pt>
                <c:pt idx="58">
                  <c:v>41</c:v>
                </c:pt>
                <c:pt idx="59">
                  <c:v>39</c:v>
                </c:pt>
                <c:pt idx="60">
                  <c:v>38</c:v>
                </c:pt>
                <c:pt idx="61">
                  <c:v>36</c:v>
                </c:pt>
                <c:pt idx="62">
                  <c:v>33</c:v>
                </c:pt>
                <c:pt idx="63">
                  <c:v>32</c:v>
                </c:pt>
                <c:pt idx="64">
                  <c:v>32</c:v>
                </c:pt>
                <c:pt idx="65">
                  <c:v>31</c:v>
                </c:pt>
                <c:pt idx="66">
                  <c:v>31</c:v>
                </c:pt>
                <c:pt idx="67">
                  <c:v>30</c:v>
                </c:pt>
                <c:pt idx="68">
                  <c:v>27</c:v>
                </c:pt>
                <c:pt idx="69">
                  <c:v>25</c:v>
                </c:pt>
                <c:pt idx="70">
                  <c:v>25</c:v>
                </c:pt>
                <c:pt idx="71">
                  <c:v>23</c:v>
                </c:pt>
                <c:pt idx="72">
                  <c:v>22</c:v>
                </c:pt>
                <c:pt idx="73">
                  <c:v>18</c:v>
                </c:pt>
                <c:pt idx="74">
                  <c:v>17</c:v>
                </c:pt>
                <c:pt idx="75">
                  <c:v>16</c:v>
                </c:pt>
                <c:pt idx="76">
                  <c:v>15</c:v>
                </c:pt>
                <c:pt idx="77">
                  <c:v>15</c:v>
                </c:pt>
                <c:pt idx="78">
                  <c:v>14</c:v>
                </c:pt>
                <c:pt idx="79">
                  <c:v>13</c:v>
                </c:pt>
                <c:pt idx="80">
                  <c:v>13</c:v>
                </c:pt>
                <c:pt idx="81">
                  <c:v>12</c:v>
                </c:pt>
                <c:pt idx="82">
                  <c:v>11</c:v>
                </c:pt>
                <c:pt idx="83">
                  <c:v>10</c:v>
                </c:pt>
                <c:pt idx="84">
                  <c:v>10</c:v>
                </c:pt>
                <c:pt idx="85">
                  <c:v>10</c:v>
                </c:pt>
                <c:pt idx="86">
                  <c:v>9</c:v>
                </c:pt>
                <c:pt idx="87">
                  <c:v>6</c:v>
                </c:pt>
                <c:pt idx="88">
                  <c:v>5</c:v>
                </c:pt>
                <c:pt idx="89">
                  <c:v>5</c:v>
                </c:pt>
                <c:pt idx="90">
                  <c:v>5</c:v>
                </c:pt>
                <c:pt idx="91">
                  <c:v>5</c:v>
                </c:pt>
                <c:pt idx="92">
                  <c:v>5</c:v>
                </c:pt>
                <c:pt idx="93">
                  <c:v>4</c:v>
                </c:pt>
                <c:pt idx="94">
                  <c:v>4</c:v>
                </c:pt>
                <c:pt idx="95">
                  <c:v>4</c:v>
                </c:pt>
                <c:pt idx="96">
                  <c:v>2</c:v>
                </c:pt>
                <c:pt idx="97">
                  <c:v>1</c:v>
                </c:pt>
                <c:pt idx="98">
                  <c:v>1</c:v>
                </c:pt>
                <c:pt idx="99">
                  <c:v>0</c:v>
                </c:pt>
              </c:numCache>
            </c:numRef>
          </c:val>
          <c:smooth val="0"/>
          <c:extLst>
            <c:ext xmlns:c16="http://schemas.microsoft.com/office/drawing/2014/chart" uri="{C3380CC4-5D6E-409C-BE32-E72D297353CC}">
              <c16:uniqueId val="{00000000-00F9-4A91-A194-C4553C1EE0C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16924655"/>
        <c:axId val="1163948815"/>
      </c:lineChart>
      <c:catAx>
        <c:axId val="21169246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63948815"/>
        <c:crosses val="autoZero"/>
        <c:auto val="1"/>
        <c:lblAlgn val="ctr"/>
        <c:lblOffset val="100"/>
        <c:noMultiLvlLbl val="0"/>
      </c:catAx>
      <c:valAx>
        <c:axId val="1163948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1692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Engine!PivotTable19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a:t>
            </a:r>
            <a:r>
              <a:rPr lang="en-US" baseline="0"/>
              <a:t> Costs By Cariers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Engine'!$A$265:$A$268</c:f>
              <c:strCache>
                <c:ptCount val="3"/>
                <c:pt idx="0">
                  <c:v>Carrier A</c:v>
                </c:pt>
                <c:pt idx="1">
                  <c:v>Carrier B</c:v>
                </c:pt>
                <c:pt idx="2">
                  <c:v>Carrier C</c:v>
                </c:pt>
              </c:strCache>
            </c:strRef>
          </c:cat>
          <c:val>
            <c:numRef>
              <c:f>'Pivot Engine'!$B$265:$B$268</c:f>
              <c:numCache>
                <c:formatCode>[$₹-439]#,##0.00</c:formatCode>
                <c:ptCount val="3"/>
                <c:pt idx="0">
                  <c:v>5.5549225216512665</c:v>
                </c:pt>
                <c:pt idx="1">
                  <c:v>5.5092469689287276</c:v>
                </c:pt>
                <c:pt idx="2">
                  <c:v>5.5992916183375021</c:v>
                </c:pt>
              </c:numCache>
            </c:numRef>
          </c:val>
          <c:extLst>
            <c:ext xmlns:c16="http://schemas.microsoft.com/office/drawing/2014/chart" uri="{C3380CC4-5D6E-409C-BE32-E72D297353CC}">
              <c16:uniqueId val="{00000000-4ED5-4B5D-95FC-52EA92F5467C}"/>
            </c:ext>
          </c:extLst>
        </c:ser>
        <c:dLbls>
          <c:dLblPos val="outEnd"/>
          <c:showLegendKey val="0"/>
          <c:showVal val="1"/>
          <c:showCatName val="0"/>
          <c:showSerName val="0"/>
          <c:showPercent val="0"/>
          <c:showBubbleSize val="0"/>
        </c:dLbls>
        <c:gapWidth val="238"/>
        <c:overlap val="-24"/>
        <c:axId val="2123285023"/>
        <c:axId val="1163957455"/>
      </c:barChart>
      <c:catAx>
        <c:axId val="2123285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57455"/>
        <c:crosses val="autoZero"/>
        <c:auto val="1"/>
        <c:lblAlgn val="ctr"/>
        <c:lblOffset val="100"/>
        <c:noMultiLvlLbl val="0"/>
      </c:catAx>
      <c:valAx>
        <c:axId val="1163957455"/>
        <c:scaling>
          <c:orientation val="minMax"/>
        </c:scaling>
        <c:delete val="1"/>
        <c:axPos val="l"/>
        <c:numFmt formatCode="[$₹-439]#,##0.00" sourceLinked="0"/>
        <c:majorTickMark val="none"/>
        <c:minorTickMark val="none"/>
        <c:tickLblPos val="nextTo"/>
        <c:crossAx val="21232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Engine!PivotTable21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 Distribution By Transport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Engine'!$A$281:$A$285</c:f>
              <c:strCache>
                <c:ptCount val="4"/>
                <c:pt idx="0">
                  <c:v>Air</c:v>
                </c:pt>
                <c:pt idx="1">
                  <c:v>Road</c:v>
                </c:pt>
                <c:pt idx="2">
                  <c:v>Rail</c:v>
                </c:pt>
                <c:pt idx="3">
                  <c:v>Sea</c:v>
                </c:pt>
              </c:strCache>
            </c:strRef>
          </c:cat>
          <c:val>
            <c:numRef>
              <c:f>'Pivot Engine'!$B$281:$B$285</c:f>
              <c:numCache>
                <c:formatCode>[$₹-439]#,##0</c:formatCode>
                <c:ptCount val="4"/>
                <c:pt idx="0">
                  <c:v>561.71258846153853</c:v>
                </c:pt>
                <c:pt idx="1">
                  <c:v>553.38597931034485</c:v>
                </c:pt>
                <c:pt idx="2">
                  <c:v>541.74756785714294</c:v>
                </c:pt>
                <c:pt idx="3">
                  <c:v>417.81915294117653</c:v>
                </c:pt>
              </c:numCache>
            </c:numRef>
          </c:val>
          <c:extLst>
            <c:ext xmlns:c16="http://schemas.microsoft.com/office/drawing/2014/chart" uri="{C3380CC4-5D6E-409C-BE32-E72D297353CC}">
              <c16:uniqueId val="{00000000-2225-4CC7-A726-1B3A9540E644}"/>
            </c:ext>
          </c:extLst>
        </c:ser>
        <c:dLbls>
          <c:dLblPos val="outEnd"/>
          <c:showLegendKey val="0"/>
          <c:showVal val="1"/>
          <c:showCatName val="0"/>
          <c:showSerName val="0"/>
          <c:showPercent val="0"/>
          <c:showBubbleSize val="0"/>
        </c:dLbls>
        <c:gapWidth val="218"/>
        <c:overlap val="-24"/>
        <c:axId val="2104386143"/>
        <c:axId val="1163955055"/>
      </c:barChart>
      <c:catAx>
        <c:axId val="210438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55055"/>
        <c:crosses val="autoZero"/>
        <c:auto val="1"/>
        <c:lblAlgn val="ctr"/>
        <c:lblOffset val="100"/>
        <c:noMultiLvlLbl val="0"/>
      </c:catAx>
      <c:valAx>
        <c:axId val="1163955055"/>
        <c:scaling>
          <c:orientation val="minMax"/>
        </c:scaling>
        <c:delete val="1"/>
        <c:axPos val="l"/>
        <c:numFmt formatCode="[$₹-439]#,##0" sourceLinked="1"/>
        <c:majorTickMark val="none"/>
        <c:minorTickMark val="none"/>
        <c:tickLblPos val="nextTo"/>
        <c:crossAx val="21043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Supply Chain Data.xlsx]Pivot Engine!PivotTable22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a:t>
            </a:r>
            <a:r>
              <a:rPr lang="en-US" baseline="0"/>
              <a:t> Rates By Product &amp; Transport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Engine'!$B$297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Engine'!$A$298:$A$313</c:f>
              <c:multiLvlStrCache>
                <c:ptCount val="12"/>
                <c:lvl>
                  <c:pt idx="0">
                    <c:v>Air</c:v>
                  </c:pt>
                  <c:pt idx="1">
                    <c:v>Rail</c:v>
                  </c:pt>
                  <c:pt idx="2">
                    <c:v>Road</c:v>
                  </c:pt>
                  <c:pt idx="3">
                    <c:v>Sea</c:v>
                  </c:pt>
                  <c:pt idx="4">
                    <c:v>Air</c:v>
                  </c:pt>
                  <c:pt idx="5">
                    <c:v>Rail</c:v>
                  </c:pt>
                  <c:pt idx="6">
                    <c:v>Road</c:v>
                  </c:pt>
                  <c:pt idx="7">
                    <c:v>Sea</c:v>
                  </c:pt>
                  <c:pt idx="8">
                    <c:v>Air</c:v>
                  </c:pt>
                  <c:pt idx="9">
                    <c:v>Rail</c:v>
                  </c:pt>
                  <c:pt idx="10">
                    <c:v>Road</c:v>
                  </c:pt>
                  <c:pt idx="11">
                    <c:v>Sea</c:v>
                  </c:pt>
                </c:lvl>
                <c:lvl>
                  <c:pt idx="0">
                    <c:v>haircare</c:v>
                  </c:pt>
                  <c:pt idx="4">
                    <c:v>skincare</c:v>
                  </c:pt>
                  <c:pt idx="8">
                    <c:v>cosmetics</c:v>
                  </c:pt>
                </c:lvl>
              </c:multiLvlStrCache>
            </c:multiLvlStrRef>
          </c:cat>
          <c:val>
            <c:numRef>
              <c:f>'Pivot Engine'!$B$298:$B$313</c:f>
              <c:numCache>
                <c:formatCode>0.00%</c:formatCode>
                <c:ptCount val="12"/>
                <c:pt idx="0">
                  <c:v>2.9247087934532422E-2</c:v>
                </c:pt>
                <c:pt idx="1">
                  <c:v>1.9593179653067765E-2</c:v>
                </c:pt>
                <c:pt idx="2">
                  <c:v>2.2387315556923377E-2</c:v>
                </c:pt>
                <c:pt idx="3">
                  <c:v>3.6428694726088395E-2</c:v>
                </c:pt>
                <c:pt idx="4">
                  <c:v>1.6944181172651132E-2</c:v>
                </c:pt>
                <c:pt idx="5">
                  <c:v>2.8782267320882085E-2</c:v>
                </c:pt>
                <c:pt idx="6">
                  <c:v>2.9927625004564227E-2</c:v>
                </c:pt>
                <c:pt idx="7">
                  <c:v>1.7907668087069024E-2</c:v>
                </c:pt>
                <c:pt idx="8">
                  <c:v>3.9938126329463856E-3</c:v>
                </c:pt>
                <c:pt idx="9">
                  <c:v>2.1588410218392435E-2</c:v>
                </c:pt>
                <c:pt idx="10">
                  <c:v>2.7036749128426116E-2</c:v>
                </c:pt>
                <c:pt idx="11">
                  <c:v>2.0421560742053556E-2</c:v>
                </c:pt>
              </c:numCache>
            </c:numRef>
          </c:val>
          <c:extLst>
            <c:ext xmlns:c16="http://schemas.microsoft.com/office/drawing/2014/chart" uri="{C3380CC4-5D6E-409C-BE32-E72D297353CC}">
              <c16:uniqueId val="{00000000-D8C2-4D32-935D-3C722F49000B}"/>
            </c:ext>
          </c:extLst>
        </c:ser>
        <c:dLbls>
          <c:showLegendKey val="0"/>
          <c:showVal val="0"/>
          <c:showCatName val="0"/>
          <c:showSerName val="0"/>
          <c:showPercent val="0"/>
          <c:showBubbleSize val="0"/>
        </c:dLbls>
        <c:gapWidth val="100"/>
        <c:overlap val="-24"/>
        <c:axId val="2104394959"/>
        <c:axId val="1163958415"/>
      </c:barChart>
      <c:catAx>
        <c:axId val="210439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58415"/>
        <c:crosses val="autoZero"/>
        <c:auto val="1"/>
        <c:lblAlgn val="ctr"/>
        <c:lblOffset val="100"/>
        <c:noMultiLvlLbl val="0"/>
      </c:catAx>
      <c:valAx>
        <c:axId val="1163958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439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Type</a:t>
            </a:r>
            <a:r>
              <a:rPr lang="en-US" baseline="0"/>
              <a:t> VS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0603022463462"/>
          <c:y val="0.26250232024392295"/>
          <c:w val="0.40523559325633329"/>
          <c:h val="0.60402978471619873"/>
        </c:manualLayout>
      </c:layout>
      <c:barChart>
        <c:barDir val="col"/>
        <c:grouping val="clustered"/>
        <c:varyColors val="0"/>
        <c:ser>
          <c:idx val="0"/>
          <c:order val="0"/>
          <c:tx>
            <c:strRef>
              <c:f>'Pivot Engine'!$B$1</c:f>
              <c:strCache>
                <c:ptCount val="1"/>
                <c:pt idx="0">
                  <c:v>Average Product Price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Engine'!$A$2:$A$5</c:f>
              <c:strCache>
                <c:ptCount val="3"/>
                <c:pt idx="0">
                  <c:v>cosmetics</c:v>
                </c:pt>
                <c:pt idx="1">
                  <c:v>haircare</c:v>
                </c:pt>
                <c:pt idx="2">
                  <c:v>skincare</c:v>
                </c:pt>
              </c:strCache>
            </c:strRef>
          </c:cat>
          <c:val>
            <c:numRef>
              <c:f>'Pivot Engine'!$B$2:$B$5</c:f>
              <c:numCache>
                <c:formatCode>[$₹-439]#,##0</c:formatCode>
                <c:ptCount val="3"/>
                <c:pt idx="0">
                  <c:v>57.361057692307696</c:v>
                </c:pt>
                <c:pt idx="1">
                  <c:v>46.014267647058823</c:v>
                </c:pt>
                <c:pt idx="2">
                  <c:v>47.259325000000004</c:v>
                </c:pt>
              </c:numCache>
            </c:numRef>
          </c:val>
          <c:extLst>
            <c:ext xmlns:c16="http://schemas.microsoft.com/office/drawing/2014/chart" uri="{C3380CC4-5D6E-409C-BE32-E72D297353CC}">
              <c16:uniqueId val="{00000000-63F0-4C0B-B6F4-96C3825B6218}"/>
            </c:ext>
          </c:extLst>
        </c:ser>
        <c:dLbls>
          <c:showLegendKey val="0"/>
          <c:showVal val="0"/>
          <c:showCatName val="0"/>
          <c:showSerName val="0"/>
          <c:showPercent val="0"/>
          <c:showBubbleSize val="0"/>
        </c:dLbls>
        <c:gapWidth val="219"/>
        <c:overlap val="-27"/>
        <c:axId val="2055136831"/>
        <c:axId val="1918319631"/>
      </c:barChart>
      <c:lineChart>
        <c:grouping val="standard"/>
        <c:varyColors val="0"/>
        <c:ser>
          <c:idx val="1"/>
          <c:order val="1"/>
          <c:tx>
            <c:strRef>
              <c:f>'Pivot Engine'!$C$1</c:f>
              <c:strCache>
                <c:ptCount val="1"/>
                <c:pt idx="0">
                  <c:v>Total Revenue</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'Pivot Engine'!$A$2:$A$5</c:f>
              <c:strCache>
                <c:ptCount val="3"/>
                <c:pt idx="0">
                  <c:v>cosmetics</c:v>
                </c:pt>
                <c:pt idx="1">
                  <c:v>haircare</c:v>
                </c:pt>
                <c:pt idx="2">
                  <c:v>skincare</c:v>
                </c:pt>
              </c:strCache>
            </c:strRef>
          </c:cat>
          <c:val>
            <c:numRef>
              <c:f>'Pivot Engine'!$C$2:$C$5</c:f>
              <c:numCache>
                <c:formatCode>[$₹-439]#,##0</c:formatCode>
                <c:ptCount val="3"/>
                <c:pt idx="0">
                  <c:v>161521.26589999997</c:v>
                </c:pt>
                <c:pt idx="1">
                  <c:v>174455.39070000005</c:v>
                </c:pt>
                <c:pt idx="2">
                  <c:v>241628.16230000003</c:v>
                </c:pt>
              </c:numCache>
            </c:numRef>
          </c:val>
          <c:smooth val="0"/>
          <c:extLst>
            <c:ext xmlns:c16="http://schemas.microsoft.com/office/drawing/2014/chart" uri="{C3380CC4-5D6E-409C-BE32-E72D297353CC}">
              <c16:uniqueId val="{00000001-63F0-4C0B-B6F4-96C3825B6218}"/>
            </c:ext>
          </c:extLst>
        </c:ser>
        <c:dLbls>
          <c:showLegendKey val="0"/>
          <c:showVal val="0"/>
          <c:showCatName val="0"/>
          <c:showSerName val="0"/>
          <c:showPercent val="0"/>
          <c:showBubbleSize val="0"/>
        </c:dLbls>
        <c:marker val="1"/>
        <c:smooth val="0"/>
        <c:axId val="2055026399"/>
        <c:axId val="1918289391"/>
      </c:lineChart>
      <c:catAx>
        <c:axId val="205513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319631"/>
        <c:crosses val="autoZero"/>
        <c:auto val="1"/>
        <c:lblAlgn val="ctr"/>
        <c:lblOffset val="100"/>
        <c:noMultiLvlLbl val="0"/>
      </c:catAx>
      <c:valAx>
        <c:axId val="1918319631"/>
        <c:scaling>
          <c:orientation val="minMax"/>
        </c:scaling>
        <c:delete val="0"/>
        <c:axPos val="l"/>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136831"/>
        <c:crosses val="autoZero"/>
        <c:crossBetween val="between"/>
      </c:valAx>
      <c:valAx>
        <c:axId val="1918289391"/>
        <c:scaling>
          <c:orientation val="minMax"/>
        </c:scaling>
        <c:delete val="0"/>
        <c:axPos val="r"/>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026399"/>
        <c:crosses val="max"/>
        <c:crossBetween val="between"/>
      </c:valAx>
      <c:catAx>
        <c:axId val="2055026399"/>
        <c:scaling>
          <c:orientation val="minMax"/>
        </c:scaling>
        <c:delete val="1"/>
        <c:axPos val="t"/>
        <c:numFmt formatCode="General" sourceLinked="1"/>
        <c:majorTickMark val="none"/>
        <c:minorTickMark val="none"/>
        <c:tickLblPos val="nextTo"/>
        <c:crossAx val="1918289391"/>
        <c:crosses val="max"/>
        <c:auto val="1"/>
        <c:lblAlgn val="ctr"/>
        <c:lblOffset val="100"/>
        <c:noMultiLvlLbl val="0"/>
      </c:catAx>
      <c:spPr>
        <a:noFill/>
        <a:ln>
          <a:noFill/>
        </a:ln>
        <a:effectLst/>
      </c:spPr>
    </c:plotArea>
    <c:legend>
      <c:legendPos val="r"/>
      <c:layout>
        <c:manualLayout>
          <c:xMode val="edge"/>
          <c:yMode val="edge"/>
          <c:x val="0.73219539448141491"/>
          <c:y val="0.3579087597978986"/>
          <c:w val="0.24014252505786984"/>
          <c:h val="0.52140471672620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Engine!PivotTable15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492991676704358"/>
          <c:y val="0.30184705289753022"/>
          <c:w val="0.4015944994838751"/>
          <c:h val="0.57721963100876272"/>
        </c:manualLayout>
      </c:layout>
      <c:doughnutChart>
        <c:varyColors val="1"/>
        <c:ser>
          <c:idx val="0"/>
          <c:order val="0"/>
          <c:tx>
            <c:strRef>
              <c:f>'Pivot Engine'!$B$26</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97-4884-9695-C24BE70569F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97-4884-9695-C24BE70569F2}"/>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97-4884-9695-C24BE7056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Engine'!$A$27:$A$30</c:f>
              <c:strCache>
                <c:ptCount val="3"/>
                <c:pt idx="0">
                  <c:v>cosmetics</c:v>
                </c:pt>
                <c:pt idx="1">
                  <c:v>haircare</c:v>
                </c:pt>
                <c:pt idx="2">
                  <c:v>skincare</c:v>
                </c:pt>
              </c:strCache>
            </c:strRef>
          </c:cat>
          <c:val>
            <c:numRef>
              <c:f>'Pivot Engine'!$B$27:$B$30</c:f>
              <c:numCache>
                <c:formatCode>0.00%</c:formatCode>
                <c:ptCount val="3"/>
                <c:pt idx="0">
                  <c:v>0.27963974782551793</c:v>
                </c:pt>
                <c:pt idx="1">
                  <c:v>0.30203243635022942</c:v>
                </c:pt>
                <c:pt idx="2">
                  <c:v>0.41832781582425266</c:v>
                </c:pt>
              </c:numCache>
            </c:numRef>
          </c:val>
          <c:extLst>
            <c:ext xmlns:c16="http://schemas.microsoft.com/office/drawing/2014/chart" uri="{C3380CC4-5D6E-409C-BE32-E72D297353CC}">
              <c16:uniqueId val="{00000006-CB97-4884-9695-C24BE70569F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Engine!PivotTable16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Revenue By</a:t>
            </a:r>
            <a:r>
              <a:rPr lang="en-US" sz="1400" baseline="0"/>
              <a:t> Shipping Carriers</a:t>
            </a:r>
            <a:endParaRPr lang="en-US" sz="1400"/>
          </a:p>
        </c:rich>
      </c:tx>
      <c:layout>
        <c:manualLayout>
          <c:xMode val="edge"/>
          <c:yMode val="edge"/>
          <c:x val="0.1734688396508576"/>
          <c:y val="3.88349514563106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Engine'!$B$40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Engine'!$A$41:$A$44</c:f>
              <c:strCache>
                <c:ptCount val="3"/>
                <c:pt idx="0">
                  <c:v>Carrier A</c:v>
                </c:pt>
                <c:pt idx="1">
                  <c:v>Carrier B</c:v>
                </c:pt>
                <c:pt idx="2">
                  <c:v>Carrier C</c:v>
                </c:pt>
              </c:strCache>
            </c:strRef>
          </c:cat>
          <c:val>
            <c:numRef>
              <c:f>'Pivot Engine'!$B$41:$B$44</c:f>
              <c:numCache>
                <c:formatCode>[$₹-439]#,##0</c:formatCode>
                <c:ptCount val="3"/>
                <c:pt idx="0">
                  <c:v>142629.99480000001</c:v>
                </c:pt>
                <c:pt idx="1">
                  <c:v>250094.64689999999</c:v>
                </c:pt>
                <c:pt idx="2">
                  <c:v>184880.17719999998</c:v>
                </c:pt>
              </c:numCache>
            </c:numRef>
          </c:val>
          <c:extLst>
            <c:ext xmlns:c16="http://schemas.microsoft.com/office/drawing/2014/chart" uri="{C3380CC4-5D6E-409C-BE32-E72D297353CC}">
              <c16:uniqueId val="{00000000-CE3F-475A-A500-BD77644228B2}"/>
            </c:ext>
          </c:extLst>
        </c:ser>
        <c:dLbls>
          <c:dLblPos val="outEnd"/>
          <c:showLegendKey val="0"/>
          <c:showVal val="1"/>
          <c:showCatName val="0"/>
          <c:showSerName val="0"/>
          <c:showPercent val="0"/>
          <c:showBubbleSize val="0"/>
        </c:dLbls>
        <c:gapWidth val="115"/>
        <c:overlap val="-20"/>
        <c:axId val="2055045887"/>
        <c:axId val="1163974255"/>
      </c:barChart>
      <c:catAx>
        <c:axId val="20550458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74255"/>
        <c:crosses val="autoZero"/>
        <c:auto val="1"/>
        <c:lblAlgn val="ctr"/>
        <c:lblOffset val="100"/>
        <c:noMultiLvlLbl val="0"/>
      </c:catAx>
      <c:valAx>
        <c:axId val="1163974255"/>
        <c:scaling>
          <c:orientation val="minMax"/>
        </c:scaling>
        <c:delete val="1"/>
        <c:axPos val="b"/>
        <c:numFmt formatCode="[$₹-439]#,##0" sourceLinked="1"/>
        <c:majorTickMark val="none"/>
        <c:minorTickMark val="none"/>
        <c:tickLblPos val="nextTo"/>
        <c:crossAx val="2055045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Engine!PivotTable17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SKU</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Engine'!$B$54</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Engine'!$A$55:$A$155</c:f>
              <c:strCache>
                <c:ptCount val="100"/>
                <c:pt idx="0">
                  <c:v>SKU51</c:v>
                </c:pt>
                <c:pt idx="1">
                  <c:v>SKU38</c:v>
                </c:pt>
                <c:pt idx="2">
                  <c:v>SKU31</c:v>
                </c:pt>
                <c:pt idx="3">
                  <c:v>SKU90</c:v>
                </c:pt>
                <c:pt idx="4">
                  <c:v>SKU2</c:v>
                </c:pt>
                <c:pt idx="5">
                  <c:v>SKU32</c:v>
                </c:pt>
                <c:pt idx="6">
                  <c:v>SKU67</c:v>
                </c:pt>
                <c:pt idx="7">
                  <c:v>SKU88</c:v>
                </c:pt>
                <c:pt idx="8">
                  <c:v>SKU52</c:v>
                </c:pt>
                <c:pt idx="9">
                  <c:v>SKU18</c:v>
                </c:pt>
                <c:pt idx="10">
                  <c:v>SKU99</c:v>
                </c:pt>
                <c:pt idx="11">
                  <c:v>SKU34</c:v>
                </c:pt>
                <c:pt idx="12">
                  <c:v>SKU24</c:v>
                </c:pt>
                <c:pt idx="13">
                  <c:v>SKU60</c:v>
                </c:pt>
                <c:pt idx="14">
                  <c:v>SKU23</c:v>
                </c:pt>
                <c:pt idx="15">
                  <c:v>SKU85</c:v>
                </c:pt>
                <c:pt idx="16">
                  <c:v>SKU0</c:v>
                </c:pt>
                <c:pt idx="17">
                  <c:v>SKU14</c:v>
                </c:pt>
                <c:pt idx="18">
                  <c:v>SKU80</c:v>
                </c:pt>
                <c:pt idx="19">
                  <c:v>SKU98</c:v>
                </c:pt>
                <c:pt idx="20">
                  <c:v>SKU7</c:v>
                </c:pt>
                <c:pt idx="21">
                  <c:v>SKU64</c:v>
                </c:pt>
                <c:pt idx="22">
                  <c:v>SKU66</c:v>
                </c:pt>
                <c:pt idx="23">
                  <c:v>SKU65</c:v>
                </c:pt>
                <c:pt idx="24">
                  <c:v>SKU29</c:v>
                </c:pt>
                <c:pt idx="25">
                  <c:v>SKU53</c:v>
                </c:pt>
                <c:pt idx="26">
                  <c:v>SKU71</c:v>
                </c:pt>
                <c:pt idx="27">
                  <c:v>SKU20</c:v>
                </c:pt>
                <c:pt idx="28">
                  <c:v>SKU49</c:v>
                </c:pt>
                <c:pt idx="29">
                  <c:v>SKU73</c:v>
                </c:pt>
                <c:pt idx="30">
                  <c:v>SKU79</c:v>
                </c:pt>
                <c:pt idx="31">
                  <c:v>SKU94</c:v>
                </c:pt>
                <c:pt idx="32">
                  <c:v>SKU6</c:v>
                </c:pt>
                <c:pt idx="33">
                  <c:v>SKU3</c:v>
                </c:pt>
                <c:pt idx="34">
                  <c:v>SKU96</c:v>
                </c:pt>
                <c:pt idx="35">
                  <c:v>SKU36</c:v>
                </c:pt>
                <c:pt idx="36">
                  <c:v>SKU8</c:v>
                </c:pt>
                <c:pt idx="37">
                  <c:v>SKU1</c:v>
                </c:pt>
                <c:pt idx="38">
                  <c:v>SKU48</c:v>
                </c:pt>
                <c:pt idx="39">
                  <c:v>SKU95</c:v>
                </c:pt>
                <c:pt idx="40">
                  <c:v>SKU44</c:v>
                </c:pt>
                <c:pt idx="41">
                  <c:v>SKU47</c:v>
                </c:pt>
                <c:pt idx="42">
                  <c:v>SKU21</c:v>
                </c:pt>
                <c:pt idx="43">
                  <c:v>SKU70</c:v>
                </c:pt>
                <c:pt idx="44">
                  <c:v>SKU61</c:v>
                </c:pt>
                <c:pt idx="45">
                  <c:v>SKU35</c:v>
                </c:pt>
                <c:pt idx="46">
                  <c:v>SKU16</c:v>
                </c:pt>
                <c:pt idx="47">
                  <c:v>SKU28</c:v>
                </c:pt>
                <c:pt idx="48">
                  <c:v>SKU11</c:v>
                </c:pt>
                <c:pt idx="49">
                  <c:v>SKU54</c:v>
                </c:pt>
                <c:pt idx="50">
                  <c:v>SKU89</c:v>
                </c:pt>
                <c:pt idx="51">
                  <c:v>SKU50</c:v>
                </c:pt>
                <c:pt idx="52">
                  <c:v>SKU43</c:v>
                </c:pt>
                <c:pt idx="53">
                  <c:v>SKU40</c:v>
                </c:pt>
                <c:pt idx="54">
                  <c:v>SKU74</c:v>
                </c:pt>
                <c:pt idx="55">
                  <c:v>SKU41</c:v>
                </c:pt>
                <c:pt idx="56">
                  <c:v>SKU15</c:v>
                </c:pt>
                <c:pt idx="57">
                  <c:v>SKU76</c:v>
                </c:pt>
                <c:pt idx="58">
                  <c:v>SKU45</c:v>
                </c:pt>
                <c:pt idx="59">
                  <c:v>SKU33</c:v>
                </c:pt>
                <c:pt idx="60">
                  <c:v>SKU87</c:v>
                </c:pt>
                <c:pt idx="61">
                  <c:v>SKU9</c:v>
                </c:pt>
                <c:pt idx="62">
                  <c:v>SKU56</c:v>
                </c:pt>
                <c:pt idx="63">
                  <c:v>SKU93</c:v>
                </c:pt>
                <c:pt idx="64">
                  <c:v>SKU81</c:v>
                </c:pt>
                <c:pt idx="65">
                  <c:v>SKU97</c:v>
                </c:pt>
                <c:pt idx="66">
                  <c:v>SKU63</c:v>
                </c:pt>
                <c:pt idx="67">
                  <c:v>SKU13</c:v>
                </c:pt>
                <c:pt idx="68">
                  <c:v>SKU62</c:v>
                </c:pt>
                <c:pt idx="69">
                  <c:v>SKU26</c:v>
                </c:pt>
                <c:pt idx="70">
                  <c:v>SKU68</c:v>
                </c:pt>
                <c:pt idx="71">
                  <c:v>SKU82</c:v>
                </c:pt>
                <c:pt idx="72">
                  <c:v>SKU55</c:v>
                </c:pt>
                <c:pt idx="73">
                  <c:v>SKU12</c:v>
                </c:pt>
                <c:pt idx="74">
                  <c:v>SKU5</c:v>
                </c:pt>
                <c:pt idx="75">
                  <c:v>SKU30</c:v>
                </c:pt>
                <c:pt idx="76">
                  <c:v>SKU4</c:v>
                </c:pt>
                <c:pt idx="77">
                  <c:v>SKU27</c:v>
                </c:pt>
                <c:pt idx="78">
                  <c:v>SKU72</c:v>
                </c:pt>
                <c:pt idx="79">
                  <c:v>SKU17</c:v>
                </c:pt>
                <c:pt idx="80">
                  <c:v>SKU46</c:v>
                </c:pt>
                <c:pt idx="81">
                  <c:v>SKU19</c:v>
                </c:pt>
                <c:pt idx="82">
                  <c:v>SKU77</c:v>
                </c:pt>
                <c:pt idx="83">
                  <c:v>SKU37</c:v>
                </c:pt>
                <c:pt idx="84">
                  <c:v>SKU83</c:v>
                </c:pt>
                <c:pt idx="85">
                  <c:v>SKU22</c:v>
                </c:pt>
                <c:pt idx="86">
                  <c:v>SKU10</c:v>
                </c:pt>
                <c:pt idx="87">
                  <c:v>SKU25</c:v>
                </c:pt>
                <c:pt idx="88">
                  <c:v>SKU92</c:v>
                </c:pt>
                <c:pt idx="89">
                  <c:v>SKU84</c:v>
                </c:pt>
                <c:pt idx="90">
                  <c:v>SKU58</c:v>
                </c:pt>
                <c:pt idx="91">
                  <c:v>SKU91</c:v>
                </c:pt>
                <c:pt idx="92">
                  <c:v>SKU39</c:v>
                </c:pt>
                <c:pt idx="93">
                  <c:v>SKU75</c:v>
                </c:pt>
                <c:pt idx="94">
                  <c:v>SKU42</c:v>
                </c:pt>
                <c:pt idx="95">
                  <c:v>SKU69</c:v>
                </c:pt>
                <c:pt idx="96">
                  <c:v>SKU57</c:v>
                </c:pt>
                <c:pt idx="97">
                  <c:v>SKU78</c:v>
                </c:pt>
                <c:pt idx="98">
                  <c:v>SKU86</c:v>
                </c:pt>
                <c:pt idx="99">
                  <c:v>SKU59</c:v>
                </c:pt>
              </c:strCache>
            </c:strRef>
          </c:cat>
          <c:val>
            <c:numRef>
              <c:f>'Pivot Engine'!$B$55:$B$155</c:f>
              <c:numCache>
                <c:formatCode>[$₹-439]#,##0</c:formatCode>
                <c:ptCount val="100"/>
                <c:pt idx="0">
                  <c:v>9866.4655000000002</c:v>
                </c:pt>
                <c:pt idx="1">
                  <c:v>9692.3179999999993</c:v>
                </c:pt>
                <c:pt idx="2">
                  <c:v>9655.1350999999995</c:v>
                </c:pt>
                <c:pt idx="3">
                  <c:v>9592.6335999999992</c:v>
                </c:pt>
                <c:pt idx="4">
                  <c:v>9577.7495999999992</c:v>
                </c:pt>
                <c:pt idx="5">
                  <c:v>9571.5504999999994</c:v>
                </c:pt>
                <c:pt idx="6">
                  <c:v>9473.7980000000007</c:v>
                </c:pt>
                <c:pt idx="7">
                  <c:v>9444.7420000000002</c:v>
                </c:pt>
                <c:pt idx="8">
                  <c:v>9435.7626</c:v>
                </c:pt>
                <c:pt idx="9">
                  <c:v>9364.6735000000008</c:v>
                </c:pt>
                <c:pt idx="10">
                  <c:v>9185.1857999999993</c:v>
                </c:pt>
                <c:pt idx="11">
                  <c:v>9061.7109</c:v>
                </c:pt>
                <c:pt idx="12">
                  <c:v>9049.0779000000002</c:v>
                </c:pt>
                <c:pt idx="13">
                  <c:v>8864.0843000000004</c:v>
                </c:pt>
                <c:pt idx="14">
                  <c:v>8858.3675999999996</c:v>
                </c:pt>
                <c:pt idx="15">
                  <c:v>8684.6131000000005</c:v>
                </c:pt>
                <c:pt idx="16">
                  <c:v>8661.9968000000008</c:v>
                </c:pt>
                <c:pt idx="17">
                  <c:v>8653.5709000000006</c:v>
                </c:pt>
                <c:pt idx="18">
                  <c:v>8651.6726999999992</c:v>
                </c:pt>
                <c:pt idx="19">
                  <c:v>8525.9526000000005</c:v>
                </c:pt>
                <c:pt idx="20">
                  <c:v>8496.1038000000008</c:v>
                </c:pt>
                <c:pt idx="21">
                  <c:v>8458.7309000000005</c:v>
                </c:pt>
                <c:pt idx="22">
                  <c:v>8367.7216000000008</c:v>
                </c:pt>
                <c:pt idx="23">
                  <c:v>8354.5797000000002</c:v>
                </c:pt>
                <c:pt idx="24">
                  <c:v>8318.9032000000007</c:v>
                </c:pt>
                <c:pt idx="25">
                  <c:v>8232.3348000000005</c:v>
                </c:pt>
                <c:pt idx="26">
                  <c:v>8180.3370999999997</c:v>
                </c:pt>
                <c:pt idx="27">
                  <c:v>8128.0276999999996</c:v>
                </c:pt>
                <c:pt idx="28">
                  <c:v>8001.6131999999998</c:v>
                </c:pt>
                <c:pt idx="29">
                  <c:v>7910.8869000000004</c:v>
                </c:pt>
                <c:pt idx="30">
                  <c:v>7888.7232999999997</c:v>
                </c:pt>
                <c:pt idx="31">
                  <c:v>7888.3564999999999</c:v>
                </c:pt>
                <c:pt idx="32">
                  <c:v>7823.4766</c:v>
                </c:pt>
                <c:pt idx="33">
                  <c:v>7766.8364000000001</c:v>
                </c:pt>
                <c:pt idx="34">
                  <c:v>7698.4247999999998</c:v>
                </c:pt>
                <c:pt idx="35">
                  <c:v>7573.4025000000001</c:v>
                </c:pt>
                <c:pt idx="36">
                  <c:v>7517.3631999999998</c:v>
                </c:pt>
                <c:pt idx="37">
                  <c:v>7460.9000999999998</c:v>
                </c:pt>
                <c:pt idx="38">
                  <c:v>7397.0709999999999</c:v>
                </c:pt>
                <c:pt idx="39">
                  <c:v>7386.3639000000003</c:v>
                </c:pt>
                <c:pt idx="40">
                  <c:v>7152.2860000000001</c:v>
                </c:pt>
                <c:pt idx="41">
                  <c:v>7089.4741999999997</c:v>
                </c:pt>
                <c:pt idx="42">
                  <c:v>7087.0527000000002</c:v>
                </c:pt>
                <c:pt idx="43">
                  <c:v>7014.8879999999999</c:v>
                </c:pt>
                <c:pt idx="44">
                  <c:v>6885.5893999999998</c:v>
                </c:pt>
                <c:pt idx="45">
                  <c:v>6541.3293000000003</c:v>
                </c:pt>
                <c:pt idx="46">
                  <c:v>6453.7979999999998</c:v>
                </c:pt>
                <c:pt idx="47">
                  <c:v>6117.3245999999999</c:v>
                </c:pt>
                <c:pt idx="48">
                  <c:v>6099.9440999999997</c:v>
                </c:pt>
                <c:pt idx="49">
                  <c:v>6088.0214999999998</c:v>
                </c:pt>
                <c:pt idx="50">
                  <c:v>5924.6826000000001</c:v>
                </c:pt>
                <c:pt idx="51">
                  <c:v>5910.8854000000001</c:v>
                </c:pt>
                <c:pt idx="52">
                  <c:v>5737.4255999999996</c:v>
                </c:pt>
                <c:pt idx="53">
                  <c:v>5724.9593999999997</c:v>
                </c:pt>
                <c:pt idx="54">
                  <c:v>5709.9453000000003</c:v>
                </c:pt>
                <c:pt idx="55">
                  <c:v>5521.2052999999996</c:v>
                </c:pt>
                <c:pt idx="56">
                  <c:v>5442.0868</c:v>
                </c:pt>
                <c:pt idx="57">
                  <c:v>5328.3760000000002</c:v>
                </c:pt>
                <c:pt idx="58">
                  <c:v>5267.9567999999999</c:v>
                </c:pt>
                <c:pt idx="59">
                  <c:v>5149.9984000000004</c:v>
                </c:pt>
                <c:pt idx="60">
                  <c:v>5133.8467000000001</c:v>
                </c:pt>
                <c:pt idx="61">
                  <c:v>4971.1459999999997</c:v>
                </c:pt>
                <c:pt idx="62">
                  <c:v>4767.0204999999996</c:v>
                </c:pt>
                <c:pt idx="63">
                  <c:v>4531.4021000000002</c:v>
                </c:pt>
                <c:pt idx="64">
                  <c:v>4384.4134000000004</c:v>
                </c:pt>
                <c:pt idx="65">
                  <c:v>4370.9165999999996</c:v>
                </c:pt>
                <c:pt idx="66">
                  <c:v>4256.9490999999998</c:v>
                </c:pt>
                <c:pt idx="67">
                  <c:v>4052.7384000000002</c:v>
                </c:pt>
                <c:pt idx="68">
                  <c:v>3899.7467999999999</c:v>
                </c:pt>
                <c:pt idx="69">
                  <c:v>3716.4933000000001</c:v>
                </c:pt>
                <c:pt idx="70">
                  <c:v>3550.2184000000002</c:v>
                </c:pt>
                <c:pt idx="71">
                  <c:v>2943.3818999999999</c:v>
                </c:pt>
                <c:pt idx="72">
                  <c:v>2925.6752000000001</c:v>
                </c:pt>
                <c:pt idx="73">
                  <c:v>2873.7413999999999</c:v>
                </c:pt>
                <c:pt idx="74">
                  <c:v>2828.3487</c:v>
                </c:pt>
                <c:pt idx="75">
                  <c:v>2766.3424</c:v>
                </c:pt>
                <c:pt idx="76">
                  <c:v>2686.5052000000001</c:v>
                </c:pt>
                <c:pt idx="77">
                  <c:v>2686.4571999999998</c:v>
                </c:pt>
                <c:pt idx="78">
                  <c:v>2633.1219999999998</c:v>
                </c:pt>
                <c:pt idx="79">
                  <c:v>2629.3964000000001</c:v>
                </c:pt>
                <c:pt idx="80">
                  <c:v>2556.7674000000002</c:v>
                </c:pt>
                <c:pt idx="81">
                  <c:v>2553.4956000000002</c:v>
                </c:pt>
                <c:pt idx="82">
                  <c:v>2483.7602000000002</c:v>
                </c:pt>
                <c:pt idx="83">
                  <c:v>2438.3398999999999</c:v>
                </c:pt>
                <c:pt idx="84">
                  <c:v>2411.7546000000002</c:v>
                </c:pt>
                <c:pt idx="85">
                  <c:v>2390.8078999999998</c:v>
                </c:pt>
                <c:pt idx="86">
                  <c:v>2330.9657999999999</c:v>
                </c:pt>
                <c:pt idx="87">
                  <c:v>2174.7770999999998</c:v>
                </c:pt>
                <c:pt idx="88">
                  <c:v>2100.1298000000002</c:v>
                </c:pt>
                <c:pt idx="89">
                  <c:v>2048.2901000000002</c:v>
                </c:pt>
                <c:pt idx="90">
                  <c:v>2021.1497999999999</c:v>
                </c:pt>
                <c:pt idx="91">
                  <c:v>1935.2067999999999</c:v>
                </c:pt>
                <c:pt idx="92">
                  <c:v>1912.4657</c:v>
                </c:pt>
                <c:pt idx="93">
                  <c:v>1889.0735999999999</c:v>
                </c:pt>
                <c:pt idx="94">
                  <c:v>1839.6094000000001</c:v>
                </c:pt>
                <c:pt idx="95">
                  <c:v>1752.3811000000001</c:v>
                </c:pt>
                <c:pt idx="96">
                  <c:v>1605.8669</c:v>
                </c:pt>
                <c:pt idx="97">
                  <c:v>1292.4584</c:v>
                </c:pt>
                <c:pt idx="98">
                  <c:v>1229.5909999999999</c:v>
                </c:pt>
                <c:pt idx="99">
                  <c:v>1061.6185</c:v>
                </c:pt>
              </c:numCache>
            </c:numRef>
          </c:val>
          <c:smooth val="0"/>
          <c:extLst>
            <c:ext xmlns:c16="http://schemas.microsoft.com/office/drawing/2014/chart" uri="{C3380CC4-5D6E-409C-BE32-E72D297353CC}">
              <c16:uniqueId val="{00000000-6AEB-4D52-9035-C3CCCC1E0FE5}"/>
            </c:ext>
          </c:extLst>
        </c:ser>
        <c:dLbls>
          <c:showLegendKey val="0"/>
          <c:showVal val="0"/>
          <c:showCatName val="0"/>
          <c:showSerName val="0"/>
          <c:showPercent val="0"/>
          <c:showBubbleSize val="0"/>
        </c:dLbls>
        <c:marker val="1"/>
        <c:smooth val="0"/>
        <c:axId val="2055108991"/>
        <c:axId val="1163944975"/>
      </c:lineChart>
      <c:catAx>
        <c:axId val="2055108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44975"/>
        <c:crosses val="autoZero"/>
        <c:auto val="1"/>
        <c:lblAlgn val="ctr"/>
        <c:lblOffset val="100"/>
        <c:noMultiLvlLbl val="0"/>
      </c:catAx>
      <c:valAx>
        <c:axId val="1163944975"/>
        <c:scaling>
          <c:orientation val="minMax"/>
        </c:scaling>
        <c:delete val="0"/>
        <c:axPos val="l"/>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1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Engine!PivotTable18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Stock Level By SKU</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Engine'!$B$159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Engine'!$A$160:$A$260</c:f>
              <c:strCache>
                <c:ptCount val="100"/>
                <c:pt idx="0">
                  <c:v>SKU12</c:v>
                </c:pt>
                <c:pt idx="1">
                  <c:v>SKU59</c:v>
                </c:pt>
                <c:pt idx="2">
                  <c:v>SKU51</c:v>
                </c:pt>
                <c:pt idx="3">
                  <c:v>SKU91</c:v>
                </c:pt>
                <c:pt idx="4">
                  <c:v>SKU49</c:v>
                </c:pt>
                <c:pt idx="5">
                  <c:v>SKU55</c:v>
                </c:pt>
                <c:pt idx="6">
                  <c:v>SKU77</c:v>
                </c:pt>
                <c:pt idx="7">
                  <c:v>SKU53</c:v>
                </c:pt>
                <c:pt idx="8">
                  <c:v>SKU69</c:v>
                </c:pt>
                <c:pt idx="9">
                  <c:v>SKU7</c:v>
                </c:pt>
                <c:pt idx="10">
                  <c:v>SKU45</c:v>
                </c:pt>
                <c:pt idx="11">
                  <c:v>SKU46</c:v>
                </c:pt>
                <c:pt idx="12">
                  <c:v>SKU92</c:v>
                </c:pt>
                <c:pt idx="13">
                  <c:v>SKU89</c:v>
                </c:pt>
                <c:pt idx="14">
                  <c:v>SKU40</c:v>
                </c:pt>
                <c:pt idx="15">
                  <c:v>SKU5</c:v>
                </c:pt>
                <c:pt idx="16">
                  <c:v>SKU32</c:v>
                </c:pt>
                <c:pt idx="17">
                  <c:v>SKU62</c:v>
                </c:pt>
                <c:pt idx="18">
                  <c:v>SKU23</c:v>
                </c:pt>
                <c:pt idx="19">
                  <c:v>SKU25</c:v>
                </c:pt>
                <c:pt idx="20">
                  <c:v>SKU13</c:v>
                </c:pt>
                <c:pt idx="21">
                  <c:v>SKU39</c:v>
                </c:pt>
                <c:pt idx="22">
                  <c:v>SKU94</c:v>
                </c:pt>
                <c:pt idx="23">
                  <c:v>SKU71</c:v>
                </c:pt>
                <c:pt idx="24">
                  <c:v>SKU84</c:v>
                </c:pt>
                <c:pt idx="25">
                  <c:v>SKU64</c:v>
                </c:pt>
                <c:pt idx="26">
                  <c:v>SKU22</c:v>
                </c:pt>
                <c:pt idx="27">
                  <c:v>SKU21</c:v>
                </c:pt>
                <c:pt idx="28">
                  <c:v>SKU38</c:v>
                </c:pt>
                <c:pt idx="29">
                  <c:v>SKU96</c:v>
                </c:pt>
                <c:pt idx="30">
                  <c:v>SKU90</c:v>
                </c:pt>
                <c:pt idx="31">
                  <c:v>SKU83</c:v>
                </c:pt>
                <c:pt idx="32">
                  <c:v>SKU41</c:v>
                </c:pt>
                <c:pt idx="33">
                  <c:v>SKU52</c:v>
                </c:pt>
                <c:pt idx="34">
                  <c:v>SKU93</c:v>
                </c:pt>
                <c:pt idx="35">
                  <c:v>SKU88</c:v>
                </c:pt>
                <c:pt idx="36">
                  <c:v>SKU30</c:v>
                </c:pt>
                <c:pt idx="37">
                  <c:v>SKU26</c:v>
                </c:pt>
                <c:pt idx="38">
                  <c:v>SKU0</c:v>
                </c:pt>
                <c:pt idx="39">
                  <c:v>SKU72</c:v>
                </c:pt>
                <c:pt idx="40">
                  <c:v>SKU65</c:v>
                </c:pt>
                <c:pt idx="41">
                  <c:v>SKU99</c:v>
                </c:pt>
                <c:pt idx="42">
                  <c:v>SKU14</c:v>
                </c:pt>
                <c:pt idx="43">
                  <c:v>SKU63</c:v>
                </c:pt>
                <c:pt idx="44">
                  <c:v>SKU98</c:v>
                </c:pt>
                <c:pt idx="45">
                  <c:v>SKU1</c:v>
                </c:pt>
                <c:pt idx="46">
                  <c:v>SKU10</c:v>
                </c:pt>
                <c:pt idx="47">
                  <c:v>SKU28</c:v>
                </c:pt>
                <c:pt idx="48">
                  <c:v>SKU81</c:v>
                </c:pt>
                <c:pt idx="49">
                  <c:v>SKU19</c:v>
                </c:pt>
                <c:pt idx="50">
                  <c:v>SKU27</c:v>
                </c:pt>
                <c:pt idx="51">
                  <c:v>SKU11</c:v>
                </c:pt>
                <c:pt idx="52">
                  <c:v>SKU97</c:v>
                </c:pt>
                <c:pt idx="53">
                  <c:v>SKU17</c:v>
                </c:pt>
                <c:pt idx="54">
                  <c:v>SKU29</c:v>
                </c:pt>
                <c:pt idx="55">
                  <c:v>SKU82</c:v>
                </c:pt>
                <c:pt idx="56">
                  <c:v>SKU35</c:v>
                </c:pt>
                <c:pt idx="57">
                  <c:v>SKU60</c:v>
                </c:pt>
                <c:pt idx="58">
                  <c:v>SKU74</c:v>
                </c:pt>
                <c:pt idx="59">
                  <c:v>SKU80</c:v>
                </c:pt>
                <c:pt idx="60">
                  <c:v>SKU76</c:v>
                </c:pt>
                <c:pt idx="61">
                  <c:v>SKU43</c:v>
                </c:pt>
                <c:pt idx="62">
                  <c:v>SKU54</c:v>
                </c:pt>
                <c:pt idx="63">
                  <c:v>SKU61</c:v>
                </c:pt>
                <c:pt idx="64">
                  <c:v>SKU86</c:v>
                </c:pt>
                <c:pt idx="65">
                  <c:v>SKU50</c:v>
                </c:pt>
                <c:pt idx="66">
                  <c:v>SKU79</c:v>
                </c:pt>
                <c:pt idx="67">
                  <c:v>SKU48</c:v>
                </c:pt>
                <c:pt idx="68">
                  <c:v>SKU20</c:v>
                </c:pt>
                <c:pt idx="69">
                  <c:v>SKU56</c:v>
                </c:pt>
                <c:pt idx="70">
                  <c:v>SKU37</c:v>
                </c:pt>
                <c:pt idx="71">
                  <c:v>SKU3</c:v>
                </c:pt>
                <c:pt idx="72">
                  <c:v>SKU42</c:v>
                </c:pt>
                <c:pt idx="73">
                  <c:v>SKU36</c:v>
                </c:pt>
                <c:pt idx="74">
                  <c:v>SKU73</c:v>
                </c:pt>
                <c:pt idx="75">
                  <c:v>SKU75</c:v>
                </c:pt>
                <c:pt idx="76">
                  <c:v>SKU95</c:v>
                </c:pt>
                <c:pt idx="77">
                  <c:v>SKU85</c:v>
                </c:pt>
                <c:pt idx="78">
                  <c:v>SKU9</c:v>
                </c:pt>
                <c:pt idx="79">
                  <c:v>SKU66</c:v>
                </c:pt>
                <c:pt idx="80">
                  <c:v>SKU44</c:v>
                </c:pt>
                <c:pt idx="81">
                  <c:v>SKU67</c:v>
                </c:pt>
                <c:pt idx="82">
                  <c:v>SKU6</c:v>
                </c:pt>
                <c:pt idx="83">
                  <c:v>SKU58</c:v>
                </c:pt>
                <c:pt idx="84">
                  <c:v>SKU18</c:v>
                </c:pt>
                <c:pt idx="85">
                  <c:v>SKU70</c:v>
                </c:pt>
                <c:pt idx="86">
                  <c:v>SKU15</c:v>
                </c:pt>
                <c:pt idx="87">
                  <c:v>SKU31</c:v>
                </c:pt>
                <c:pt idx="88">
                  <c:v>SKU8</c:v>
                </c:pt>
                <c:pt idx="89">
                  <c:v>SKU87</c:v>
                </c:pt>
                <c:pt idx="90">
                  <c:v>SKU4</c:v>
                </c:pt>
                <c:pt idx="91">
                  <c:v>SKU78</c:v>
                </c:pt>
                <c:pt idx="92">
                  <c:v>SKU57</c:v>
                </c:pt>
                <c:pt idx="93">
                  <c:v>SKU24</c:v>
                </c:pt>
                <c:pt idx="94">
                  <c:v>SKU47</c:v>
                </c:pt>
                <c:pt idx="95">
                  <c:v>SKU33</c:v>
                </c:pt>
                <c:pt idx="96">
                  <c:v>SKU16</c:v>
                </c:pt>
                <c:pt idx="97">
                  <c:v>SKU2</c:v>
                </c:pt>
                <c:pt idx="98">
                  <c:v>SKU34</c:v>
                </c:pt>
                <c:pt idx="99">
                  <c:v>SKU68</c:v>
                </c:pt>
              </c:strCache>
            </c:strRef>
          </c:cat>
          <c:val>
            <c:numRef>
              <c:f>'Pivot Engine'!$B$160:$B$260</c:f>
              <c:numCache>
                <c:formatCode>0</c:formatCode>
                <c:ptCount val="100"/>
                <c:pt idx="0">
                  <c:v>100</c:v>
                </c:pt>
                <c:pt idx="1">
                  <c:v>100</c:v>
                </c:pt>
                <c:pt idx="2">
                  <c:v>100</c:v>
                </c:pt>
                <c:pt idx="3">
                  <c:v>98</c:v>
                </c:pt>
                <c:pt idx="4">
                  <c:v>97</c:v>
                </c:pt>
                <c:pt idx="5">
                  <c:v>97</c:v>
                </c:pt>
                <c:pt idx="6">
                  <c:v>96</c:v>
                </c:pt>
                <c:pt idx="7">
                  <c:v>96</c:v>
                </c:pt>
                <c:pt idx="8">
                  <c:v>95</c:v>
                </c:pt>
                <c:pt idx="9">
                  <c:v>93</c:v>
                </c:pt>
                <c:pt idx="10">
                  <c:v>93</c:v>
                </c:pt>
                <c:pt idx="11">
                  <c:v>92</c:v>
                </c:pt>
                <c:pt idx="12">
                  <c:v>90</c:v>
                </c:pt>
                <c:pt idx="13">
                  <c:v>90</c:v>
                </c:pt>
                <c:pt idx="14">
                  <c:v>90</c:v>
                </c:pt>
                <c:pt idx="15">
                  <c:v>90</c:v>
                </c:pt>
                <c:pt idx="16">
                  <c:v>89</c:v>
                </c:pt>
                <c:pt idx="17">
                  <c:v>86</c:v>
                </c:pt>
                <c:pt idx="18">
                  <c:v>84</c:v>
                </c:pt>
                <c:pt idx="19">
                  <c:v>82</c:v>
                </c:pt>
                <c:pt idx="20">
                  <c:v>80</c:v>
                </c:pt>
                <c:pt idx="21">
                  <c:v>78</c:v>
                </c:pt>
                <c:pt idx="22">
                  <c:v>77</c:v>
                </c:pt>
                <c:pt idx="23">
                  <c:v>76</c:v>
                </c:pt>
                <c:pt idx="24">
                  <c:v>73</c:v>
                </c:pt>
                <c:pt idx="25">
                  <c:v>73</c:v>
                </c:pt>
                <c:pt idx="26">
                  <c:v>71</c:v>
                </c:pt>
                <c:pt idx="27">
                  <c:v>69</c:v>
                </c:pt>
                <c:pt idx="28">
                  <c:v>69</c:v>
                </c:pt>
                <c:pt idx="29">
                  <c:v>67</c:v>
                </c:pt>
                <c:pt idx="30">
                  <c:v>66</c:v>
                </c:pt>
                <c:pt idx="31">
                  <c:v>65</c:v>
                </c:pt>
                <c:pt idx="32">
                  <c:v>64</c:v>
                </c:pt>
                <c:pt idx="33">
                  <c:v>64</c:v>
                </c:pt>
                <c:pt idx="34">
                  <c:v>63</c:v>
                </c:pt>
                <c:pt idx="35">
                  <c:v>60</c:v>
                </c:pt>
                <c:pt idx="36">
                  <c:v>60</c:v>
                </c:pt>
                <c:pt idx="37">
                  <c:v>59</c:v>
                </c:pt>
                <c:pt idx="38">
                  <c:v>58</c:v>
                </c:pt>
                <c:pt idx="39">
                  <c:v>57</c:v>
                </c:pt>
                <c:pt idx="40">
                  <c:v>57</c:v>
                </c:pt>
                <c:pt idx="41">
                  <c:v>55</c:v>
                </c:pt>
                <c:pt idx="42">
                  <c:v>54</c:v>
                </c:pt>
                <c:pt idx="43">
                  <c:v>54</c:v>
                </c:pt>
                <c:pt idx="44">
                  <c:v>53</c:v>
                </c:pt>
                <c:pt idx="45">
                  <c:v>53</c:v>
                </c:pt>
                <c:pt idx="46">
                  <c:v>51</c:v>
                </c:pt>
                <c:pt idx="47">
                  <c:v>48</c:v>
                </c:pt>
                <c:pt idx="48">
                  <c:v>48</c:v>
                </c:pt>
                <c:pt idx="49">
                  <c:v>48</c:v>
                </c:pt>
                <c:pt idx="50">
                  <c:v>47</c:v>
                </c:pt>
                <c:pt idx="51">
                  <c:v>46</c:v>
                </c:pt>
                <c:pt idx="52">
                  <c:v>46</c:v>
                </c:pt>
                <c:pt idx="53">
                  <c:v>45</c:v>
                </c:pt>
                <c:pt idx="54">
                  <c:v>45</c:v>
                </c:pt>
                <c:pt idx="55">
                  <c:v>42</c:v>
                </c:pt>
                <c:pt idx="56">
                  <c:v>42</c:v>
                </c:pt>
                <c:pt idx="57">
                  <c:v>41</c:v>
                </c:pt>
                <c:pt idx="58">
                  <c:v>41</c:v>
                </c:pt>
                <c:pt idx="59">
                  <c:v>39</c:v>
                </c:pt>
                <c:pt idx="60">
                  <c:v>38</c:v>
                </c:pt>
                <c:pt idx="61">
                  <c:v>36</c:v>
                </c:pt>
                <c:pt idx="62">
                  <c:v>33</c:v>
                </c:pt>
                <c:pt idx="63">
                  <c:v>32</c:v>
                </c:pt>
                <c:pt idx="64">
                  <c:v>32</c:v>
                </c:pt>
                <c:pt idx="65">
                  <c:v>31</c:v>
                </c:pt>
                <c:pt idx="66">
                  <c:v>31</c:v>
                </c:pt>
                <c:pt idx="67">
                  <c:v>30</c:v>
                </c:pt>
                <c:pt idx="68">
                  <c:v>27</c:v>
                </c:pt>
                <c:pt idx="69">
                  <c:v>25</c:v>
                </c:pt>
                <c:pt idx="70">
                  <c:v>25</c:v>
                </c:pt>
                <c:pt idx="71">
                  <c:v>23</c:v>
                </c:pt>
                <c:pt idx="72">
                  <c:v>22</c:v>
                </c:pt>
                <c:pt idx="73">
                  <c:v>18</c:v>
                </c:pt>
                <c:pt idx="74">
                  <c:v>17</c:v>
                </c:pt>
                <c:pt idx="75">
                  <c:v>16</c:v>
                </c:pt>
                <c:pt idx="76">
                  <c:v>15</c:v>
                </c:pt>
                <c:pt idx="77">
                  <c:v>15</c:v>
                </c:pt>
                <c:pt idx="78">
                  <c:v>14</c:v>
                </c:pt>
                <c:pt idx="79">
                  <c:v>13</c:v>
                </c:pt>
                <c:pt idx="80">
                  <c:v>13</c:v>
                </c:pt>
                <c:pt idx="81">
                  <c:v>12</c:v>
                </c:pt>
                <c:pt idx="82">
                  <c:v>11</c:v>
                </c:pt>
                <c:pt idx="83">
                  <c:v>10</c:v>
                </c:pt>
                <c:pt idx="84">
                  <c:v>10</c:v>
                </c:pt>
                <c:pt idx="85">
                  <c:v>10</c:v>
                </c:pt>
                <c:pt idx="86">
                  <c:v>9</c:v>
                </c:pt>
                <c:pt idx="87">
                  <c:v>6</c:v>
                </c:pt>
                <c:pt idx="88">
                  <c:v>5</c:v>
                </c:pt>
                <c:pt idx="89">
                  <c:v>5</c:v>
                </c:pt>
                <c:pt idx="90">
                  <c:v>5</c:v>
                </c:pt>
                <c:pt idx="91">
                  <c:v>5</c:v>
                </c:pt>
                <c:pt idx="92">
                  <c:v>5</c:v>
                </c:pt>
                <c:pt idx="93">
                  <c:v>4</c:v>
                </c:pt>
                <c:pt idx="94">
                  <c:v>4</c:v>
                </c:pt>
                <c:pt idx="95">
                  <c:v>4</c:v>
                </c:pt>
                <c:pt idx="96">
                  <c:v>2</c:v>
                </c:pt>
                <c:pt idx="97">
                  <c:v>1</c:v>
                </c:pt>
                <c:pt idx="98">
                  <c:v>1</c:v>
                </c:pt>
                <c:pt idx="99">
                  <c:v>0</c:v>
                </c:pt>
              </c:numCache>
            </c:numRef>
          </c:val>
          <c:smooth val="0"/>
          <c:extLst>
            <c:ext xmlns:c16="http://schemas.microsoft.com/office/drawing/2014/chart" uri="{C3380CC4-5D6E-409C-BE32-E72D297353CC}">
              <c16:uniqueId val="{00000000-8FEB-40BA-87D6-B62E866525EE}"/>
            </c:ext>
          </c:extLst>
        </c:ser>
        <c:dLbls>
          <c:showLegendKey val="0"/>
          <c:showVal val="0"/>
          <c:showCatName val="0"/>
          <c:showSerName val="0"/>
          <c:showPercent val="0"/>
          <c:showBubbleSize val="0"/>
        </c:dLbls>
        <c:marker val="1"/>
        <c:smooth val="0"/>
        <c:axId val="2116924655"/>
        <c:axId val="1163948815"/>
      </c:lineChart>
      <c:catAx>
        <c:axId val="21169246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48815"/>
        <c:crosses val="autoZero"/>
        <c:auto val="1"/>
        <c:lblAlgn val="ctr"/>
        <c:lblOffset val="100"/>
        <c:noMultiLvlLbl val="0"/>
      </c:catAx>
      <c:valAx>
        <c:axId val="1163948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92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Engine!PivotTable19</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a:t>
            </a:r>
            <a:r>
              <a:rPr lang="en-US" baseline="0"/>
              <a:t> Costs By Carriers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00000000000001E-2"/>
          <c:y val="0.21344073634173982"/>
          <c:w val="0.92959999999999998"/>
          <c:h val="0.66174896466821342"/>
        </c:manualLayout>
      </c:layout>
      <c:barChart>
        <c:barDir val="col"/>
        <c:grouping val="clustered"/>
        <c:varyColors val="0"/>
        <c:ser>
          <c:idx val="0"/>
          <c:order val="0"/>
          <c:tx>
            <c:strRef>
              <c:f>'Pivot Engine'!$B$264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Engine'!$A$265:$A$268</c:f>
              <c:strCache>
                <c:ptCount val="3"/>
                <c:pt idx="0">
                  <c:v>Carrier A</c:v>
                </c:pt>
                <c:pt idx="1">
                  <c:v>Carrier B</c:v>
                </c:pt>
                <c:pt idx="2">
                  <c:v>Carrier C</c:v>
                </c:pt>
              </c:strCache>
            </c:strRef>
          </c:cat>
          <c:val>
            <c:numRef>
              <c:f>'Pivot Engine'!$B$265:$B$268</c:f>
              <c:numCache>
                <c:formatCode>[$₹-439]#,##0.00</c:formatCode>
                <c:ptCount val="3"/>
                <c:pt idx="0">
                  <c:v>5.5549225216512665</c:v>
                </c:pt>
                <c:pt idx="1">
                  <c:v>5.5092469689287276</c:v>
                </c:pt>
                <c:pt idx="2">
                  <c:v>5.5992916183375021</c:v>
                </c:pt>
              </c:numCache>
            </c:numRef>
          </c:val>
          <c:extLst>
            <c:ext xmlns:c16="http://schemas.microsoft.com/office/drawing/2014/chart" uri="{C3380CC4-5D6E-409C-BE32-E72D297353CC}">
              <c16:uniqueId val="{00000000-FAA0-450D-8776-3B4630489208}"/>
            </c:ext>
          </c:extLst>
        </c:ser>
        <c:dLbls>
          <c:dLblPos val="outEnd"/>
          <c:showLegendKey val="0"/>
          <c:showVal val="1"/>
          <c:showCatName val="0"/>
          <c:showSerName val="0"/>
          <c:showPercent val="0"/>
          <c:showBubbleSize val="0"/>
        </c:dLbls>
        <c:gapWidth val="434"/>
        <c:overlap val="-24"/>
        <c:axId val="2123285023"/>
        <c:axId val="1163957455"/>
      </c:barChart>
      <c:catAx>
        <c:axId val="2123285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57455"/>
        <c:crosses val="autoZero"/>
        <c:auto val="1"/>
        <c:lblAlgn val="ctr"/>
        <c:lblOffset val="100"/>
        <c:noMultiLvlLbl val="0"/>
      </c:catAx>
      <c:valAx>
        <c:axId val="1163957455"/>
        <c:scaling>
          <c:orientation val="minMax"/>
        </c:scaling>
        <c:delete val="1"/>
        <c:axPos val="l"/>
        <c:numFmt formatCode="[$₹-439]#,##0.00" sourceLinked="0"/>
        <c:majorTickMark val="none"/>
        <c:minorTickMark val="none"/>
        <c:tickLblPos val="nextTo"/>
        <c:crossAx val="21232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Engine!PivotTable21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 Distribution By Transport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Engine'!$B$280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Engine'!$A$281:$A$285</c:f>
              <c:strCache>
                <c:ptCount val="4"/>
                <c:pt idx="0">
                  <c:v>Air</c:v>
                </c:pt>
                <c:pt idx="1">
                  <c:v>Road</c:v>
                </c:pt>
                <c:pt idx="2">
                  <c:v>Rail</c:v>
                </c:pt>
                <c:pt idx="3">
                  <c:v>Sea</c:v>
                </c:pt>
              </c:strCache>
            </c:strRef>
          </c:cat>
          <c:val>
            <c:numRef>
              <c:f>'Pivot Engine'!$B$281:$B$285</c:f>
              <c:numCache>
                <c:formatCode>[$₹-439]#,##0</c:formatCode>
                <c:ptCount val="4"/>
                <c:pt idx="0">
                  <c:v>561.71258846153853</c:v>
                </c:pt>
                <c:pt idx="1">
                  <c:v>553.38597931034485</c:v>
                </c:pt>
                <c:pt idx="2">
                  <c:v>541.74756785714294</c:v>
                </c:pt>
                <c:pt idx="3">
                  <c:v>417.81915294117653</c:v>
                </c:pt>
              </c:numCache>
            </c:numRef>
          </c:val>
          <c:extLst>
            <c:ext xmlns:c16="http://schemas.microsoft.com/office/drawing/2014/chart" uri="{C3380CC4-5D6E-409C-BE32-E72D297353CC}">
              <c16:uniqueId val="{00000000-81ED-4846-A411-F90206B96874}"/>
            </c:ext>
          </c:extLst>
        </c:ser>
        <c:dLbls>
          <c:dLblPos val="outEnd"/>
          <c:showLegendKey val="0"/>
          <c:showVal val="1"/>
          <c:showCatName val="0"/>
          <c:showSerName val="0"/>
          <c:showPercent val="0"/>
          <c:showBubbleSize val="0"/>
        </c:dLbls>
        <c:gapWidth val="333"/>
        <c:overlap val="-24"/>
        <c:axId val="2104386143"/>
        <c:axId val="1163955055"/>
      </c:barChart>
      <c:catAx>
        <c:axId val="210438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55055"/>
        <c:crosses val="autoZero"/>
        <c:auto val="1"/>
        <c:lblAlgn val="ctr"/>
        <c:lblOffset val="100"/>
        <c:noMultiLvlLbl val="0"/>
      </c:catAx>
      <c:valAx>
        <c:axId val="1163955055"/>
        <c:scaling>
          <c:orientation val="minMax"/>
        </c:scaling>
        <c:delete val="1"/>
        <c:axPos val="l"/>
        <c:numFmt formatCode="[$₹-439]#,##0" sourceLinked="1"/>
        <c:majorTickMark val="none"/>
        <c:minorTickMark val="none"/>
        <c:tickLblPos val="nextTo"/>
        <c:crossAx val="21043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[Glow Supply Chain Data.xlsx]Pivot Engine!PivotTable22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a:t>
            </a:r>
            <a:r>
              <a:rPr lang="en-US" baseline="0"/>
              <a:t> Rates By Product &amp; Transport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Engine'!$B$297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Engine'!$A$298:$A$313</c:f>
              <c:multiLvlStrCache>
                <c:ptCount val="12"/>
                <c:lvl>
                  <c:pt idx="0">
                    <c:v>Air</c:v>
                  </c:pt>
                  <c:pt idx="1">
                    <c:v>Rail</c:v>
                  </c:pt>
                  <c:pt idx="2">
                    <c:v>Road</c:v>
                  </c:pt>
                  <c:pt idx="3">
                    <c:v>Sea</c:v>
                  </c:pt>
                  <c:pt idx="4">
                    <c:v>Air</c:v>
                  </c:pt>
                  <c:pt idx="5">
                    <c:v>Rail</c:v>
                  </c:pt>
                  <c:pt idx="6">
                    <c:v>Road</c:v>
                  </c:pt>
                  <c:pt idx="7">
                    <c:v>Sea</c:v>
                  </c:pt>
                  <c:pt idx="8">
                    <c:v>Air</c:v>
                  </c:pt>
                  <c:pt idx="9">
                    <c:v>Rail</c:v>
                  </c:pt>
                  <c:pt idx="10">
                    <c:v>Road</c:v>
                  </c:pt>
                  <c:pt idx="11">
                    <c:v>Sea</c:v>
                  </c:pt>
                </c:lvl>
                <c:lvl>
                  <c:pt idx="0">
                    <c:v>haircare</c:v>
                  </c:pt>
                  <c:pt idx="4">
                    <c:v>skincare</c:v>
                  </c:pt>
                  <c:pt idx="8">
                    <c:v>cosmetics</c:v>
                  </c:pt>
                </c:lvl>
              </c:multiLvlStrCache>
            </c:multiLvlStrRef>
          </c:cat>
          <c:val>
            <c:numRef>
              <c:f>'Pivot Engine'!$B$298:$B$313</c:f>
              <c:numCache>
                <c:formatCode>0.00%</c:formatCode>
                <c:ptCount val="12"/>
                <c:pt idx="0">
                  <c:v>2.9247087934532422E-2</c:v>
                </c:pt>
                <c:pt idx="1">
                  <c:v>1.9593179653067765E-2</c:v>
                </c:pt>
                <c:pt idx="2">
                  <c:v>2.2387315556923377E-2</c:v>
                </c:pt>
                <c:pt idx="3">
                  <c:v>3.6428694726088395E-2</c:v>
                </c:pt>
                <c:pt idx="4">
                  <c:v>1.6944181172651132E-2</c:v>
                </c:pt>
                <c:pt idx="5">
                  <c:v>2.8782267320882085E-2</c:v>
                </c:pt>
                <c:pt idx="6">
                  <c:v>2.9927625004564227E-2</c:v>
                </c:pt>
                <c:pt idx="7">
                  <c:v>1.7907668087069024E-2</c:v>
                </c:pt>
                <c:pt idx="8">
                  <c:v>3.9938126329463856E-3</c:v>
                </c:pt>
                <c:pt idx="9">
                  <c:v>2.1588410218392435E-2</c:v>
                </c:pt>
                <c:pt idx="10">
                  <c:v>2.7036749128426116E-2</c:v>
                </c:pt>
                <c:pt idx="11">
                  <c:v>2.0421560742053556E-2</c:v>
                </c:pt>
              </c:numCache>
            </c:numRef>
          </c:val>
          <c:extLst>
            <c:ext xmlns:c16="http://schemas.microsoft.com/office/drawing/2014/chart" uri="{C3380CC4-5D6E-409C-BE32-E72D297353CC}">
              <c16:uniqueId val="{00000000-F716-4608-B5BB-986F49195466}"/>
            </c:ext>
          </c:extLst>
        </c:ser>
        <c:dLbls>
          <c:showLegendKey val="0"/>
          <c:showVal val="0"/>
          <c:showCatName val="0"/>
          <c:showSerName val="0"/>
          <c:showPercent val="0"/>
          <c:showBubbleSize val="0"/>
        </c:dLbls>
        <c:gapWidth val="100"/>
        <c:overlap val="-24"/>
        <c:axId val="2104394959"/>
        <c:axId val="1163958415"/>
      </c:barChart>
      <c:catAx>
        <c:axId val="210439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58415"/>
        <c:crosses val="autoZero"/>
        <c:auto val="1"/>
        <c:lblAlgn val="ctr"/>
        <c:lblOffset val="100"/>
        <c:noMultiLvlLbl val="0"/>
      </c:catAx>
      <c:valAx>
        <c:axId val="1163958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439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146050</xdr:rowOff>
    </xdr:from>
    <xdr:to>
      <xdr:col>16</xdr:col>
      <xdr:colOff>171450</xdr:colOff>
      <xdr:row>76</xdr:row>
      <xdr:rowOff>88900</xdr:rowOff>
    </xdr:to>
    <xdr:sp macro="" textlink="">
      <xdr:nvSpPr>
        <xdr:cNvPr id="2" name="TextBox 1">
          <a:extLst>
            <a:ext uri="{FF2B5EF4-FFF2-40B4-BE49-F238E27FC236}">
              <a16:creationId xmlns:a16="http://schemas.microsoft.com/office/drawing/2014/main" id="{FCFC73CB-776A-AA1B-6A70-42CFC76806F1}"/>
            </a:ext>
          </a:extLst>
        </xdr:cNvPr>
        <xdr:cNvSpPr txBox="1"/>
      </xdr:nvSpPr>
      <xdr:spPr>
        <a:xfrm>
          <a:off x="38100" y="146050"/>
          <a:ext cx="9886950" cy="139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effectLst/>
              <a:latin typeface="Arial" panose="020B0604020202020204" pitchFamily="34" charset="0"/>
              <a:cs typeface="Arial" panose="020B0604020202020204" pitchFamily="34" charset="0"/>
            </a:rPr>
            <a:t>Here is a clear definition for each of your supply chain features, grouped by their role in the product lifecycle to help you better understand your dataset:</a:t>
          </a:r>
        </a:p>
        <a:p>
          <a:endParaRPr lang="en-US" sz="1400" b="0">
            <a:effectLst/>
            <a:latin typeface="Arial" panose="020B0604020202020204" pitchFamily="34" charset="0"/>
            <a:cs typeface="Arial" panose="020B0604020202020204" pitchFamily="34" charset="0"/>
          </a:endParaRPr>
        </a:p>
        <a:p>
          <a:r>
            <a:rPr lang="en-US" sz="1400" b="1">
              <a:effectLst/>
              <a:latin typeface="Arial" panose="020B0604020202020204" pitchFamily="34" charset="0"/>
              <a:cs typeface="Arial" panose="020B0604020202020204" pitchFamily="34" charset="0"/>
            </a:rPr>
            <a:t>1. Product &amp; Sales Metrics</a:t>
          </a:r>
        </a:p>
        <a:p>
          <a:endParaRPr lang="en-US" sz="1400" b="1">
            <a:effectLst/>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Product Type</a:t>
          </a:r>
          <a:r>
            <a:rPr lang="en-US" sz="1400">
              <a:latin typeface="Arial" panose="020B0604020202020204" pitchFamily="34" charset="0"/>
              <a:cs typeface="Arial" panose="020B0604020202020204" pitchFamily="34" charset="0"/>
            </a:rPr>
            <a:t>: The category of the item (e.g., haircare,</a:t>
          </a:r>
          <a:r>
            <a:rPr lang="en-US" sz="1400" baseline="0">
              <a:latin typeface="Arial" panose="020B0604020202020204" pitchFamily="34" charset="0"/>
              <a:cs typeface="Arial" panose="020B0604020202020204" pitchFamily="34" charset="0"/>
            </a:rPr>
            <a:t> skincare, cosmetics</a:t>
          </a:r>
          <a:r>
            <a:rPr lang="en-US" sz="1400">
              <a:latin typeface="Arial" panose="020B0604020202020204" pitchFamily="34" charset="0"/>
              <a:cs typeface="Arial" panose="020B0604020202020204" pitchFamily="34" charset="0"/>
            </a:rPr>
            <a:t>)</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Stock Keeping Unit (SKU)</a:t>
          </a:r>
          <a:r>
            <a:rPr lang="en-US" sz="1400">
              <a:latin typeface="Arial" panose="020B0604020202020204" pitchFamily="34" charset="0"/>
              <a:cs typeface="Arial" panose="020B0604020202020204" pitchFamily="34" charset="0"/>
            </a:rPr>
            <a:t>: Unique alphanumeric codes used to track individual inventory items.</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Price</a:t>
          </a:r>
          <a:r>
            <a:rPr lang="en-US" sz="1400">
              <a:latin typeface="Arial" panose="020B0604020202020204" pitchFamily="34" charset="0"/>
              <a:cs typeface="Arial" panose="020B0604020202020204" pitchFamily="34" charset="0"/>
            </a:rPr>
            <a:t>: The retail cost charged to the customer for a single unit.</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Supplier Availability</a:t>
          </a:r>
          <a:r>
            <a:rPr lang="en-US" sz="1400">
              <a:latin typeface="Arial" panose="020B0604020202020204" pitchFamily="34" charset="0"/>
              <a:cs typeface="Arial" panose="020B0604020202020204" pitchFamily="34" charset="0"/>
            </a:rPr>
            <a:t>:</a:t>
          </a:r>
          <a:r>
            <a:rPr lang="en-US" sz="1400"/>
            <a:t> = the amount of product considered available in the supply system</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Number of products sold</a:t>
          </a:r>
          <a:r>
            <a:rPr lang="en-US" sz="1400">
              <a:latin typeface="Arial" panose="020B0604020202020204" pitchFamily="34" charset="0"/>
              <a:cs typeface="Arial" panose="020B0604020202020204" pitchFamily="34" charset="0"/>
            </a:rPr>
            <a:t>: The total quantity of units purchased by customers over a specific timeframe.</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Revenue generated</a:t>
          </a:r>
          <a:r>
            <a:rPr lang="en-US" sz="1400">
              <a:latin typeface="Arial" panose="020B0604020202020204" pitchFamily="34" charset="0"/>
              <a:cs typeface="Arial" panose="020B0604020202020204" pitchFamily="34" charset="0"/>
            </a:rPr>
            <a:t>: The total money earned from sales, calculated as </a:t>
          </a:r>
          <a:r>
            <a:rPr lang="en-US" sz="1400" i="1">
              <a:effectLst/>
              <a:latin typeface="Arial" panose="020B0604020202020204" pitchFamily="34" charset="0"/>
              <a:cs typeface="Arial" panose="020B0604020202020204" pitchFamily="34" charset="0"/>
            </a:rPr>
            <a:t>Price × Number of products sold</a:t>
          </a:r>
          <a:r>
            <a:rPr lang="en-US" sz="1400">
              <a:latin typeface="Arial" panose="020B0604020202020204" pitchFamily="34" charset="0"/>
              <a:cs typeface="Arial" panose="020B0604020202020204" pitchFamily="34" charset="0"/>
            </a:rPr>
            <a:t>.</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Customer demographics</a:t>
          </a:r>
          <a:r>
            <a:rPr lang="en-US" sz="1400">
              <a:latin typeface="Arial" panose="020B0604020202020204" pitchFamily="34" charset="0"/>
              <a:cs typeface="Arial" panose="020B0604020202020204" pitchFamily="34" charset="0"/>
            </a:rPr>
            <a:t>: Characteristics of the target buyers (e.g., Female,</a:t>
          </a:r>
          <a:r>
            <a:rPr lang="en-US" sz="1400" baseline="0">
              <a:latin typeface="Arial" panose="020B0604020202020204" pitchFamily="34" charset="0"/>
              <a:cs typeface="Arial" panose="020B0604020202020204" pitchFamily="34" charset="0"/>
            </a:rPr>
            <a:t> Male, Binary, Unknown.)</a:t>
          </a:r>
          <a:endParaRPr lang="en-US" sz="1400">
            <a:latin typeface="Arial" panose="020B0604020202020204" pitchFamily="34" charset="0"/>
            <a:cs typeface="Arial" panose="020B0604020202020204" pitchFamily="34" charset="0"/>
          </a:endParaRPr>
        </a:p>
        <a:p>
          <a:pPr lvl="0"/>
          <a:endParaRPr lang="en-US" sz="1400">
            <a:latin typeface="Arial" panose="020B0604020202020204" pitchFamily="34" charset="0"/>
            <a:cs typeface="Arial" panose="020B0604020202020204" pitchFamily="34" charset="0"/>
          </a:endParaRPr>
        </a:p>
        <a:p>
          <a:r>
            <a:rPr lang="en-US" sz="1400" b="1">
              <a:effectLst/>
              <a:latin typeface="Arial" panose="020B0604020202020204" pitchFamily="34" charset="0"/>
              <a:cs typeface="Arial" panose="020B0604020202020204" pitchFamily="34" charset="0"/>
            </a:rPr>
            <a:t>2. Inventory &amp; Ordering</a:t>
          </a:r>
        </a:p>
        <a:p>
          <a:endParaRPr lang="en-US" sz="1400" b="1">
            <a:effectLst/>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Glow Stock levels</a:t>
          </a:r>
          <a:r>
            <a:rPr lang="en-US" sz="1400">
              <a:latin typeface="Arial" panose="020B0604020202020204" pitchFamily="34" charset="0"/>
              <a:cs typeface="Arial" panose="020B0604020202020204" pitchFamily="34" charset="0"/>
            </a:rPr>
            <a:t>: The exact quantity of physical products currently sitting in your warehouse or store. </a:t>
          </a:r>
          <a:r>
            <a:rPr lang="en-US" sz="1400"/>
            <a:t>the amount currently held in inventory</a:t>
          </a:r>
          <a:endParaRPr lang="en-US" sz="1400">
            <a:latin typeface="Arial" panose="020B0604020202020204" pitchFamily="34" charset="0"/>
            <a:cs typeface="Arial" panose="020B0604020202020204" pitchFamily="34" charset="0"/>
          </a:endParaRP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Order quantities</a:t>
          </a:r>
          <a:r>
            <a:rPr lang="en-US" sz="1400">
              <a:latin typeface="Arial" panose="020B0604020202020204" pitchFamily="34" charset="0"/>
              <a:cs typeface="Arial" panose="020B0604020202020204" pitchFamily="34" charset="0"/>
            </a:rPr>
            <a:t>: The number of units requested in a single purchase order from the supplier.</a:t>
          </a:r>
        </a:p>
        <a:p>
          <a:pPr lvl="0"/>
          <a:endParaRPr lang="en-US" sz="1400">
            <a:latin typeface="Arial" panose="020B0604020202020204" pitchFamily="34" charset="0"/>
            <a:cs typeface="Arial" panose="020B0604020202020204" pitchFamily="34" charset="0"/>
          </a:endParaRPr>
        </a:p>
        <a:p>
          <a:r>
            <a:rPr lang="en-US" sz="1400" b="1"/>
            <a:t>Product Lead Time — Order → Customer</a:t>
          </a:r>
        </a:p>
        <a:p>
          <a:r>
            <a:rPr lang="en-US" sz="1400" b="0"/>
            <a:t>How long it takes from the customer's order until the product reaches the customer.</a:t>
          </a:r>
        </a:p>
        <a:p>
          <a:r>
            <a:rPr lang="en-US" sz="1400" b="0"/>
            <a:t>“How long does the customer wait?”</a:t>
          </a:r>
        </a:p>
        <a:p>
          <a:endParaRPr lang="en-US" sz="1400" b="0"/>
        </a:p>
        <a:p>
          <a:r>
            <a:rPr lang="en-US" sz="1400" b="1">
              <a:effectLst/>
              <a:latin typeface="Arial" panose="020B0604020202020204" pitchFamily="34" charset="0"/>
              <a:cs typeface="Arial" panose="020B0604020202020204" pitchFamily="34" charset="0"/>
            </a:rPr>
            <a:t>3. Manufacturing &amp; Quality</a:t>
          </a:r>
        </a:p>
        <a:p>
          <a:endParaRPr lang="en-US" sz="1400" b="1">
            <a:effectLst/>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Supplier name</a:t>
          </a:r>
          <a:r>
            <a:rPr lang="en-US" sz="1400">
              <a:latin typeface="Arial" panose="020B0604020202020204" pitchFamily="34" charset="0"/>
              <a:cs typeface="Arial" panose="020B0604020202020204" pitchFamily="34" charset="0"/>
            </a:rPr>
            <a:t>: The identity of the external vendor or manufacturer producing the goods.</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Location</a:t>
          </a:r>
          <a:r>
            <a:rPr lang="en-US" sz="1400">
              <a:latin typeface="Arial" panose="020B0604020202020204" pitchFamily="34" charset="0"/>
              <a:cs typeface="Arial" panose="020B0604020202020204" pitchFamily="34" charset="0"/>
            </a:rPr>
            <a:t>: The physical geographic origin of the supplier or manufacturing facility.</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Production volumes</a:t>
          </a:r>
          <a:r>
            <a:rPr lang="en-US" sz="1400">
              <a:latin typeface="Arial" panose="020B0604020202020204" pitchFamily="34" charset="0"/>
              <a:cs typeface="Arial" panose="020B0604020202020204" pitchFamily="34" charset="0"/>
            </a:rPr>
            <a:t>: The total number of units manufactured during a specific production run.</a:t>
          </a:r>
        </a:p>
        <a:p>
          <a:pPr lvl="0"/>
          <a:endParaRPr lang="en-US" sz="1400">
            <a:latin typeface="Arial" panose="020B0604020202020204" pitchFamily="34" charset="0"/>
            <a:cs typeface="Arial" panose="020B0604020202020204" pitchFamily="34" charset="0"/>
          </a:endParaRPr>
        </a:p>
        <a:p>
          <a:r>
            <a:rPr lang="en-US" sz="1400" b="1"/>
            <a:t>3. Manufacturing Lead Time — Production → Finished Product</a:t>
          </a:r>
        </a:p>
        <a:p>
          <a:r>
            <a:rPr lang="en-US" sz="1400" b="0"/>
            <a:t>How long it takes Glow's manufacturing process to produce the finished product.</a:t>
          </a:r>
        </a:p>
        <a:p>
          <a:r>
            <a:rPr lang="en-US" sz="1400" b="0"/>
            <a:t>“How long does it take us to make it?”</a:t>
          </a:r>
        </a:p>
        <a:p>
          <a:pPr lvl="0"/>
          <a:endParaRPr lang="en-US" sz="1400" b="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Manufacturing costs</a:t>
          </a:r>
          <a:r>
            <a:rPr lang="en-US" sz="1400">
              <a:latin typeface="Arial" panose="020B0604020202020204" pitchFamily="34" charset="0"/>
              <a:cs typeface="Arial" panose="020B0604020202020204" pitchFamily="34" charset="0"/>
            </a:rPr>
            <a:t>: The total expense required to produce a single unit (e.g., raw ingredients, packaging, labor).</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Inspection results</a:t>
          </a:r>
          <a:r>
            <a:rPr lang="en-US" sz="1400">
              <a:latin typeface="Arial" panose="020B0604020202020204" pitchFamily="34" charset="0"/>
              <a:cs typeface="Arial" panose="020B0604020202020204" pitchFamily="34" charset="0"/>
            </a:rPr>
            <a:t>: The outcome of quality control evaluations (e.g., Pass, Fail, Re-inspect).</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Defect rates</a:t>
          </a:r>
          <a:r>
            <a:rPr lang="en-US" sz="1400">
              <a:latin typeface="Arial" panose="020B0604020202020204" pitchFamily="34" charset="0"/>
              <a:cs typeface="Arial" panose="020B0604020202020204" pitchFamily="34" charset="0"/>
            </a:rPr>
            <a:t>: The percentage of manufactured products that fail quality standards during production.</a:t>
          </a:r>
        </a:p>
        <a:p>
          <a:pPr lvl="0"/>
          <a:endParaRPr lang="en-US" sz="1400">
            <a:latin typeface="Arial" panose="020B0604020202020204" pitchFamily="34" charset="0"/>
            <a:cs typeface="Arial" panose="020B0604020202020204" pitchFamily="34" charset="0"/>
          </a:endParaRPr>
        </a:p>
        <a:p>
          <a:pPr lvl="0"/>
          <a:endParaRPr lang="en-US" sz="1400">
            <a:latin typeface="Arial" panose="020B0604020202020204" pitchFamily="34" charset="0"/>
            <a:cs typeface="Arial" panose="020B0604020202020204" pitchFamily="34" charset="0"/>
          </a:endParaRPr>
        </a:p>
        <a:p>
          <a:r>
            <a:rPr lang="en-US" sz="1400" b="1">
              <a:effectLst/>
              <a:latin typeface="Arial" panose="020B0604020202020204" pitchFamily="34" charset="0"/>
              <a:cs typeface="Arial" panose="020B0604020202020204" pitchFamily="34" charset="0"/>
            </a:rPr>
            <a:t>4. Logistics &amp; Shipping</a:t>
          </a:r>
        </a:p>
        <a:p>
          <a:endParaRPr lang="en-US" sz="1400" b="1">
            <a:effectLst/>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Shipping times</a:t>
          </a:r>
          <a:r>
            <a:rPr lang="en-US" sz="1400">
              <a:latin typeface="Arial" panose="020B0604020202020204" pitchFamily="34" charset="0"/>
              <a:cs typeface="Arial" panose="020B0604020202020204" pitchFamily="34" charset="0"/>
            </a:rPr>
            <a:t>: The duration of transit from the supplier’s warehouse to your fulfillment center.</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Shipping carriers</a:t>
          </a:r>
          <a:r>
            <a:rPr lang="en-US" sz="1400">
              <a:latin typeface="Arial" panose="020B0604020202020204" pitchFamily="34" charset="0"/>
              <a:cs typeface="Arial" panose="020B0604020202020204" pitchFamily="34" charset="0"/>
            </a:rPr>
            <a:t>: The delivery companies handling the transit (e.g., DHL, FedEx, UPS).</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Shipping costs</a:t>
          </a:r>
          <a:r>
            <a:rPr lang="en-US" sz="1400">
              <a:latin typeface="Arial" panose="020B0604020202020204" pitchFamily="34" charset="0"/>
              <a:cs typeface="Arial" panose="020B0604020202020204" pitchFamily="34" charset="0"/>
            </a:rPr>
            <a:t>: The fees paid to carriers to transport the goods from the supplier.</a:t>
          </a:r>
        </a:p>
        <a:p>
          <a:pPr lvl="0"/>
          <a:endParaRPr lang="en-US" sz="1400">
            <a:latin typeface="Arial" panose="020B0604020202020204" pitchFamily="34" charset="0"/>
            <a:cs typeface="Arial" panose="020B0604020202020204" pitchFamily="34" charset="0"/>
          </a:endParaRPr>
        </a:p>
        <a:p>
          <a:r>
            <a:rPr lang="en-US" sz="1400" b="1"/>
            <a:t>Supplier Lead Time — Supplier → Glow</a:t>
          </a:r>
        </a:p>
        <a:p>
          <a:r>
            <a:rPr lang="en-US" sz="1400" b="0"/>
            <a:t>How long it takes for Glow to receive the product or materials from its supplier.</a:t>
          </a:r>
        </a:p>
        <a:p>
          <a:r>
            <a:rPr lang="en-US" sz="1400" b="0"/>
            <a:t>“How long does Glow wait for the supplier?”</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Transportation modes</a:t>
          </a:r>
          <a:r>
            <a:rPr lang="en-US" sz="1400">
              <a:latin typeface="Arial" panose="020B0604020202020204" pitchFamily="34" charset="0"/>
              <a:cs typeface="Arial" panose="020B0604020202020204" pitchFamily="34" charset="0"/>
            </a:rPr>
            <a:t>: The method of transit used to move the inventory (e.g., Air freight, Sea freight, Road).</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Routes</a:t>
          </a:r>
          <a:r>
            <a:rPr lang="en-US" sz="1400">
              <a:latin typeface="Arial" panose="020B0604020202020204" pitchFamily="34" charset="0"/>
              <a:cs typeface="Arial" panose="020B0604020202020204" pitchFamily="34" charset="0"/>
            </a:rPr>
            <a:t>: The specific geographic paths or transit lines taken to deliver the goods.</a:t>
          </a:r>
        </a:p>
        <a:p>
          <a:pPr lvl="0"/>
          <a:endParaRPr lang="en-US" sz="1400">
            <a:latin typeface="Arial" panose="020B0604020202020204" pitchFamily="34" charset="0"/>
            <a:cs typeface="Arial" panose="020B0604020202020204" pitchFamily="34" charset="0"/>
          </a:endParaRPr>
        </a:p>
        <a:p>
          <a:pPr lvl="0"/>
          <a:r>
            <a:rPr lang="en-US" sz="1400" b="1">
              <a:effectLst/>
              <a:latin typeface="Arial" panose="020B0604020202020204" pitchFamily="34" charset="0"/>
              <a:cs typeface="Arial" panose="020B0604020202020204" pitchFamily="34" charset="0"/>
            </a:rPr>
            <a:t>Costs</a:t>
          </a:r>
          <a:r>
            <a:rPr lang="en-US" sz="1400">
              <a:latin typeface="Arial" panose="020B0604020202020204" pitchFamily="34" charset="0"/>
              <a:cs typeface="Arial" panose="020B0604020202020204" pitchFamily="34" charset="0"/>
            </a:rPr>
            <a:t>: Total overall logistical expenses associated with moving and handling the shipment.</a:t>
          </a:r>
        </a:p>
        <a:p>
          <a:endParaRPr lang="en-US" sz="14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12700</xdr:rowOff>
    </xdr:from>
    <xdr:to>
      <xdr:col>3</xdr:col>
      <xdr:colOff>1244600</xdr:colOff>
      <xdr:row>16</xdr:row>
      <xdr:rowOff>69850</xdr:rowOff>
    </xdr:to>
    <xdr:sp macro="" textlink="">
      <xdr:nvSpPr>
        <xdr:cNvPr id="2" name="TextBox 1">
          <a:extLst>
            <a:ext uri="{FF2B5EF4-FFF2-40B4-BE49-F238E27FC236}">
              <a16:creationId xmlns:a16="http://schemas.microsoft.com/office/drawing/2014/main" id="{D4F419E1-6AFA-0FF5-8F94-8AFC9A05C0AA}"/>
            </a:ext>
          </a:extLst>
        </xdr:cNvPr>
        <xdr:cNvSpPr txBox="1"/>
      </xdr:nvSpPr>
      <xdr:spPr>
        <a:xfrm>
          <a:off x="0" y="1301750"/>
          <a:ext cx="37211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100" b="1" u="none" strike="noStrike">
              <a:solidFill>
                <a:schemeClr val="dk1"/>
              </a:solidFill>
              <a:effectLst/>
              <a:latin typeface="+mn-lt"/>
              <a:ea typeface="+mn-ea"/>
              <a:cs typeface="+mn-cs"/>
            </a:rPr>
            <a:t>Cosmetics are underperforming</a:t>
          </a:r>
          <a:r>
            <a:rPr lang="en-US" sz="1100" b="0" u="none" strike="noStrike">
              <a:solidFill>
                <a:schemeClr val="dk1"/>
              </a:solidFill>
              <a:effectLst/>
              <a:latin typeface="+mn-lt"/>
              <a:ea typeface="+mn-ea"/>
              <a:cs typeface="+mn-cs"/>
            </a:rPr>
            <a:t>: They have the highest average price (</a:t>
          </a:r>
          <a:r>
            <a:rPr lang="en-US" sz="1100" b="1" u="none" strike="noStrike">
              <a:solidFill>
                <a:schemeClr val="dk1"/>
              </a:solidFill>
              <a:effectLst/>
              <a:latin typeface="+mn-lt"/>
              <a:ea typeface="+mn-ea"/>
              <a:cs typeface="+mn-cs"/>
            </a:rPr>
            <a:t>₹57</a:t>
          </a:r>
          <a:r>
            <a:rPr lang="en-US" sz="1100" b="0" u="none" strike="noStrike">
              <a:solidFill>
                <a:schemeClr val="dk1"/>
              </a:solidFill>
              <a:effectLst/>
              <a:latin typeface="+mn-lt"/>
              <a:ea typeface="+mn-ea"/>
              <a:cs typeface="+mn-cs"/>
            </a:rPr>
            <a:t>) but bring in the lowest total revenue (</a:t>
          </a:r>
          <a:r>
            <a:rPr lang="en-US" sz="1100" b="1" u="none" strike="noStrike">
              <a:solidFill>
                <a:schemeClr val="dk1"/>
              </a:solidFill>
              <a:effectLst/>
              <a:latin typeface="+mn-lt"/>
              <a:ea typeface="+mn-ea"/>
              <a:cs typeface="+mn-cs"/>
            </a:rPr>
            <a:t>₹161,521</a:t>
          </a:r>
          <a:r>
            <a:rPr lang="en-US" sz="1100" b="0" u="none" strike="noStrike">
              <a:solidFill>
                <a:schemeClr val="dk1"/>
              </a:solidFill>
              <a:effectLst/>
              <a:latin typeface="+mn-lt"/>
              <a:ea typeface="+mn-ea"/>
              <a:cs typeface="+mn-cs"/>
            </a:rPr>
            <a:t>). This means customers might be resisting the higher price tag, or you are selling fewer units.</a:t>
          </a:r>
        </a:p>
        <a:p>
          <a:pPr lvl="0"/>
          <a:endParaRPr lang="en-US" sz="1100" b="0" u="none" strike="noStrike">
            <a:solidFill>
              <a:schemeClr val="dk1"/>
            </a:solidFill>
            <a:effectLst/>
            <a:latin typeface="+mn-lt"/>
            <a:ea typeface="+mn-ea"/>
            <a:cs typeface="+mn-cs"/>
          </a:endParaRPr>
        </a:p>
        <a:p>
          <a:pPr lvl="0"/>
          <a:r>
            <a:rPr lang="en-US" sz="1100" b="1" u="none" strike="noStrike">
              <a:solidFill>
                <a:schemeClr val="dk1"/>
              </a:solidFill>
              <a:effectLst/>
              <a:latin typeface="+mn-lt"/>
              <a:ea typeface="+mn-ea"/>
              <a:cs typeface="+mn-cs"/>
            </a:rPr>
            <a:t>Skincare has the perfect "Sweet Spot"</a:t>
          </a:r>
          <a:r>
            <a:rPr lang="en-US" sz="1100" b="0" u="none" strike="noStrike">
              <a:solidFill>
                <a:schemeClr val="dk1"/>
              </a:solidFill>
              <a:effectLst/>
              <a:latin typeface="+mn-lt"/>
              <a:ea typeface="+mn-ea"/>
              <a:cs typeface="+mn-cs"/>
            </a:rPr>
            <a:t>: At an average price of </a:t>
          </a:r>
          <a:r>
            <a:rPr lang="en-US" sz="1100" b="1" u="none" strike="noStrike">
              <a:solidFill>
                <a:schemeClr val="dk1"/>
              </a:solidFill>
              <a:effectLst/>
              <a:latin typeface="+mn-lt"/>
              <a:ea typeface="+mn-ea"/>
              <a:cs typeface="+mn-cs"/>
            </a:rPr>
            <a:t>₹47</a:t>
          </a:r>
          <a:r>
            <a:rPr lang="en-US" sz="1100" b="0" u="none" strike="noStrike">
              <a:solidFill>
                <a:schemeClr val="dk1"/>
              </a:solidFill>
              <a:effectLst/>
              <a:latin typeface="+mn-lt"/>
              <a:ea typeface="+mn-ea"/>
              <a:cs typeface="+mn-cs"/>
            </a:rPr>
            <a:t> (just ₹1 more than haircare), it generates massive volume. It shows that customers perceive high value in your skincare line at this specific price point.</a:t>
          </a:r>
        </a:p>
        <a:p>
          <a:endParaRPr lang="en-US" sz="1100"/>
        </a:p>
      </xdr:txBody>
    </xdr:sp>
    <xdr:clientData/>
  </xdr:twoCellAnchor>
  <xdr:twoCellAnchor>
    <xdr:from>
      <xdr:col>4</xdr:col>
      <xdr:colOff>450850</xdr:colOff>
      <xdr:row>2</xdr:row>
      <xdr:rowOff>107950</xdr:rowOff>
    </xdr:from>
    <xdr:to>
      <xdr:col>11</xdr:col>
      <xdr:colOff>63500</xdr:colOff>
      <xdr:row>16</xdr:row>
      <xdr:rowOff>69850</xdr:rowOff>
    </xdr:to>
    <xdr:graphicFrame macro="">
      <xdr:nvGraphicFramePr>
        <xdr:cNvPr id="3" name="Chart 2">
          <a:extLst>
            <a:ext uri="{FF2B5EF4-FFF2-40B4-BE49-F238E27FC236}">
              <a16:creationId xmlns:a16="http://schemas.microsoft.com/office/drawing/2014/main" id="{3DB9CFE0-552F-448C-1882-D45493DA8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307975</xdr:colOff>
      <xdr:row>24</xdr:row>
      <xdr:rowOff>177800</xdr:rowOff>
    </xdr:from>
    <xdr:to>
      <xdr:col>5</xdr:col>
      <xdr:colOff>120650</xdr:colOff>
      <xdr:row>35</xdr:row>
      <xdr:rowOff>158750</xdr:rowOff>
    </xdr:to>
    <xdr:graphicFrame macro="">
      <xdr:nvGraphicFramePr>
        <xdr:cNvPr id="4" name="Chart 3">
          <a:extLst>
            <a:ext uri="{FF2B5EF4-FFF2-40B4-BE49-F238E27FC236}">
              <a16:creationId xmlns:a16="http://schemas.microsoft.com/office/drawing/2014/main" id="{DB1E56D7-FEC7-A13C-0402-05B978749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431800</xdr:colOff>
      <xdr:row>40</xdr:row>
      <xdr:rowOff>63500</xdr:rowOff>
    </xdr:from>
    <xdr:to>
      <xdr:col>9</xdr:col>
      <xdr:colOff>12700</xdr:colOff>
      <xdr:row>50</xdr:row>
      <xdr:rowOff>101600</xdr:rowOff>
    </xdr:to>
    <xdr:graphicFrame macro="">
      <xdr:nvGraphicFramePr>
        <xdr:cNvPr id="5" name="Chart 4">
          <a:extLst>
            <a:ext uri="{FF2B5EF4-FFF2-40B4-BE49-F238E27FC236}">
              <a16:creationId xmlns:a16="http://schemas.microsoft.com/office/drawing/2014/main" id="{8AC4F401-3935-4246-CD79-9A296AAD7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565150</xdr:colOff>
      <xdr:row>53</xdr:row>
      <xdr:rowOff>139700</xdr:rowOff>
    </xdr:from>
    <xdr:to>
      <xdr:col>6</xdr:col>
      <xdr:colOff>349250</xdr:colOff>
      <xdr:row>68</xdr:row>
      <xdr:rowOff>120650</xdr:rowOff>
    </xdr:to>
    <xdr:graphicFrame macro="">
      <xdr:nvGraphicFramePr>
        <xdr:cNvPr id="6" name="Chart 5">
          <a:extLst>
            <a:ext uri="{FF2B5EF4-FFF2-40B4-BE49-F238E27FC236}">
              <a16:creationId xmlns:a16="http://schemas.microsoft.com/office/drawing/2014/main" id="{182FFA09-B5FC-4F1A-7A88-B25DEC64E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692150</xdr:colOff>
      <xdr:row>159</xdr:row>
      <xdr:rowOff>12700</xdr:rowOff>
    </xdr:from>
    <xdr:to>
      <xdr:col>6</xdr:col>
      <xdr:colOff>476250</xdr:colOff>
      <xdr:row>173</xdr:row>
      <xdr:rowOff>177800</xdr:rowOff>
    </xdr:to>
    <xdr:graphicFrame macro="">
      <xdr:nvGraphicFramePr>
        <xdr:cNvPr id="7" name="Chart 6">
          <a:extLst>
            <a:ext uri="{FF2B5EF4-FFF2-40B4-BE49-F238E27FC236}">
              <a16:creationId xmlns:a16="http://schemas.microsoft.com/office/drawing/2014/main" id="{896429D3-F835-01D1-8FE6-0C323DFFE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270</xdr:row>
      <xdr:rowOff>0</xdr:rowOff>
    </xdr:from>
    <xdr:to>
      <xdr:col>2</xdr:col>
      <xdr:colOff>1606550</xdr:colOff>
      <xdr:row>275</xdr:row>
      <xdr:rowOff>114300</xdr:rowOff>
    </xdr:to>
    <xdr:sp macro="" textlink="">
      <xdr:nvSpPr>
        <xdr:cNvPr id="8" name="TextBox 7">
          <a:extLst>
            <a:ext uri="{FF2B5EF4-FFF2-40B4-BE49-F238E27FC236}">
              <a16:creationId xmlns:a16="http://schemas.microsoft.com/office/drawing/2014/main" id="{E742E382-B150-46C1-B86B-D094872D4365}"/>
            </a:ext>
          </a:extLst>
        </xdr:cNvPr>
        <xdr:cNvSpPr txBox="1"/>
      </xdr:nvSpPr>
      <xdr:spPr>
        <a:xfrm>
          <a:off x="0" y="49720500"/>
          <a:ext cx="4394200" cy="1035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a:t>While Carrier B has the highest total accumulated shipping cost (₹237), an analysis of the averages reveals that all three carriers charge an identical average rate of approximately</a:t>
          </a:r>
          <a:r>
            <a:rPr lang="en-US" baseline="0"/>
            <a:t> </a:t>
          </a:r>
          <a:r>
            <a:rPr lang="en-US"/>
            <a:t>₹6 per shipment. Therefore, Carrier B's higher total cost is purely driven by shipping volume, as they handle the largest share of our startup's deliveries."</a:t>
          </a:r>
          <a:endParaRPr lang="en-US" sz="1100"/>
        </a:p>
      </xdr:txBody>
    </xdr:sp>
    <xdr:clientData/>
  </xdr:twoCellAnchor>
  <xdr:twoCellAnchor>
    <xdr:from>
      <xdr:col>2</xdr:col>
      <xdr:colOff>704850</xdr:colOff>
      <xdr:row>259</xdr:row>
      <xdr:rowOff>12700</xdr:rowOff>
    </xdr:from>
    <xdr:to>
      <xdr:col>5</xdr:col>
      <xdr:colOff>495300</xdr:colOff>
      <xdr:row>270</xdr:row>
      <xdr:rowOff>31750</xdr:rowOff>
    </xdr:to>
    <xdr:graphicFrame macro="">
      <xdr:nvGraphicFramePr>
        <xdr:cNvPr id="9" name="Chart 8">
          <a:extLst>
            <a:ext uri="{FF2B5EF4-FFF2-40B4-BE49-F238E27FC236}">
              <a16:creationId xmlns:a16="http://schemas.microsoft.com/office/drawing/2014/main" id="{8106082C-E925-3094-E749-F5ABFB0D0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287</xdr:row>
      <xdr:rowOff>133350</xdr:rowOff>
    </xdr:from>
    <xdr:to>
      <xdr:col>3</xdr:col>
      <xdr:colOff>501650</xdr:colOff>
      <xdr:row>293</xdr:row>
      <xdr:rowOff>171450</xdr:rowOff>
    </xdr:to>
    <xdr:sp macro="" textlink="">
      <xdr:nvSpPr>
        <xdr:cNvPr id="10" name="TextBox 9">
          <a:extLst>
            <a:ext uri="{FF2B5EF4-FFF2-40B4-BE49-F238E27FC236}">
              <a16:creationId xmlns:a16="http://schemas.microsoft.com/office/drawing/2014/main" id="{B8193232-4C04-8A11-3C2E-97EFAFB357D7}"/>
            </a:ext>
          </a:extLst>
        </xdr:cNvPr>
        <xdr:cNvSpPr txBox="1"/>
      </xdr:nvSpPr>
      <xdr:spPr>
        <a:xfrm>
          <a:off x="0" y="52984400"/>
          <a:ext cx="484505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100" b="0" u="none" strike="noStrike">
              <a:solidFill>
                <a:schemeClr val="dk1"/>
              </a:solidFill>
              <a:effectLst/>
              <a:latin typeface="+mn-lt"/>
              <a:ea typeface="+mn-ea"/>
              <a:cs typeface="+mn-cs"/>
            </a:rPr>
            <a:t>on average, Air cost more for transaportation than others, followed by road, Rail and sea. I think it makes sense because of the delicacies around air transportation. Fragility and speed constraints.</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strike="noStrike">
              <a:solidFill>
                <a:schemeClr val="dk1"/>
              </a:solidFill>
              <a:effectLst/>
              <a:latin typeface="+mn-lt"/>
              <a:ea typeface="+mn-ea"/>
              <a:cs typeface="+mn-cs"/>
            </a:rPr>
            <a:t>It is fast, but you pay a massive premium for speed and careful handling. Sea takes a long time (which ties into those 30-day lead times we discussed earlier), but it offers the best cost savings per unit.</a:t>
          </a:r>
        </a:p>
        <a:p>
          <a:pPr lvl="0"/>
          <a:endParaRPr lang="en-US" sz="1100" b="0" u="none" strike="noStrike">
            <a:solidFill>
              <a:schemeClr val="dk1"/>
            </a:solidFill>
            <a:effectLst/>
            <a:latin typeface="+mn-lt"/>
            <a:ea typeface="+mn-ea"/>
            <a:cs typeface="+mn-cs"/>
          </a:endParaRPr>
        </a:p>
      </xdr:txBody>
    </xdr:sp>
    <xdr:clientData/>
  </xdr:twoCellAnchor>
  <xdr:twoCellAnchor>
    <xdr:from>
      <xdr:col>3</xdr:col>
      <xdr:colOff>1206500</xdr:colOff>
      <xdr:row>277</xdr:row>
      <xdr:rowOff>127000</xdr:rowOff>
    </xdr:from>
    <xdr:to>
      <xdr:col>10</xdr:col>
      <xdr:colOff>107950</xdr:colOff>
      <xdr:row>292</xdr:row>
      <xdr:rowOff>6350</xdr:rowOff>
    </xdr:to>
    <xdr:graphicFrame macro="">
      <xdr:nvGraphicFramePr>
        <xdr:cNvPr id="11" name="Chart 10">
          <a:extLst>
            <a:ext uri="{FF2B5EF4-FFF2-40B4-BE49-F238E27FC236}">
              <a16:creationId xmlns:a16="http://schemas.microsoft.com/office/drawing/2014/main" id="{11EE8F9C-735E-F076-4696-EC6E3460B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19050</xdr:colOff>
      <xdr:row>315</xdr:row>
      <xdr:rowOff>63500</xdr:rowOff>
    </xdr:from>
    <xdr:to>
      <xdr:col>5</xdr:col>
      <xdr:colOff>0</xdr:colOff>
      <xdr:row>326</xdr:row>
      <xdr:rowOff>120650</xdr:rowOff>
    </xdr:to>
    <xdr:sp macro="" textlink="">
      <xdr:nvSpPr>
        <xdr:cNvPr id="12" name="TextBox 11">
          <a:extLst>
            <a:ext uri="{FF2B5EF4-FFF2-40B4-BE49-F238E27FC236}">
              <a16:creationId xmlns:a16="http://schemas.microsoft.com/office/drawing/2014/main" id="{F93D56FE-8265-4B2A-0C36-4265F39CC60C}"/>
            </a:ext>
          </a:extLst>
        </xdr:cNvPr>
        <xdr:cNvSpPr txBox="1"/>
      </xdr:nvSpPr>
      <xdr:spPr>
        <a:xfrm>
          <a:off x="19050" y="58070750"/>
          <a:ext cx="6877050" cy="208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Key Findings</a:t>
          </a:r>
        </a:p>
        <a:p>
          <a:r>
            <a:rPr lang="en-US" b="1"/>
            <a:t>1. Haircare has a problem with Sea Freight</a:t>
          </a:r>
          <a:br>
            <a:rPr lang="en-US"/>
          </a:br>
          <a:r>
            <a:rPr lang="en-US"/>
            <a:t>Haircare has the highest overall defect rate at </a:t>
          </a:r>
          <a:r>
            <a:rPr lang="en-US" b="1"/>
            <a:t>2.48%</a:t>
          </a:r>
          <a:r>
            <a:rPr lang="en-US"/>
            <a:t>. The rate is even higher for products shipped by sea, at </a:t>
          </a:r>
          <a:r>
            <a:rPr lang="en-US" b="1"/>
            <a:t>3.64%</a:t>
          </a:r>
          <a:r>
            <a:rPr lang="en-US"/>
            <a:t>. This could be because long sea journeys, humidity, and temperature changes may affect the products or damage their packaging.</a:t>
          </a:r>
        </a:p>
        <a:p>
          <a:r>
            <a:rPr lang="en-US" b="1"/>
            <a:t>2. Road Transport is Risky for Cosmetics and Skincare</a:t>
          </a:r>
          <a:br>
            <a:rPr lang="en-US"/>
          </a:br>
          <a:r>
            <a:rPr lang="en-US"/>
            <a:t>Cosmetics have a </a:t>
          </a:r>
          <a:r>
            <a:rPr lang="en-US" b="1"/>
            <a:t>2.70%</a:t>
          </a:r>
          <a:r>
            <a:rPr lang="en-US"/>
            <a:t> defect rate by road, while skincare has </a:t>
          </a:r>
          <a:r>
            <a:rPr lang="en-US" b="1"/>
            <a:t>2.99%</a:t>
          </a:r>
          <a:r>
            <a:rPr lang="en-US"/>
            <a:t>. These are the highest defect rates for both product types. Rough handling, road vibrations, and changes in temperature could be contributing to the damage.</a:t>
          </a:r>
        </a:p>
        <a:p>
          <a:r>
            <a:rPr lang="en-US" b="1"/>
            <a:t>3. Air Freight has the Lowest Defect Rate</a:t>
          </a:r>
          <a:br>
            <a:rPr lang="en-US"/>
          </a:br>
          <a:r>
            <a:rPr lang="en-US"/>
            <a:t>Air transport has the lowest defect rate for cosmetics, at just </a:t>
          </a:r>
          <a:r>
            <a:rPr lang="en-US" b="1"/>
            <a:t>0.40%</a:t>
          </a:r>
          <a:r>
            <a:rPr lang="en-US"/>
            <a:t>. This suggests that air shipping may provide safer handling and better protection for delicate beauty products.</a:t>
          </a:r>
        </a:p>
        <a:p>
          <a:pPr lvl="0"/>
          <a:endParaRPr lang="en-US" sz="1100" b="0" u="none" strike="noStrike">
            <a:solidFill>
              <a:schemeClr val="dk1"/>
            </a:solidFill>
            <a:effectLst/>
            <a:latin typeface="+mn-lt"/>
            <a:ea typeface="+mn-ea"/>
            <a:cs typeface="+mn-cs"/>
          </a:endParaRPr>
        </a:p>
      </xdr:txBody>
    </xdr:sp>
    <xdr:clientData/>
  </xdr:twoCellAnchor>
  <xdr:twoCellAnchor>
    <xdr:from>
      <xdr:col>2</xdr:col>
      <xdr:colOff>215900</xdr:colOff>
      <xdr:row>300</xdr:row>
      <xdr:rowOff>0</xdr:rowOff>
    </xdr:from>
    <xdr:to>
      <xdr:col>4</xdr:col>
      <xdr:colOff>254000</xdr:colOff>
      <xdr:row>312</xdr:row>
      <xdr:rowOff>6350</xdr:rowOff>
    </xdr:to>
    <xdr:graphicFrame macro="">
      <xdr:nvGraphicFramePr>
        <xdr:cNvPr id="13" name="Chart 12">
          <a:extLst>
            <a:ext uri="{FF2B5EF4-FFF2-40B4-BE49-F238E27FC236}">
              <a16:creationId xmlns:a16="http://schemas.microsoft.com/office/drawing/2014/main" id="{559C73B2-FDCF-9EE4-D8ED-CF44AE1BE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107950</xdr:colOff>
      <xdr:row>0</xdr:row>
      <xdr:rowOff>0</xdr:rowOff>
    </xdr:from>
    <xdr:to>
      <xdr:col>19</xdr:col>
      <xdr:colOff>450850</xdr:colOff>
      <xdr:row>27</xdr:row>
      <xdr:rowOff>95250</xdr:rowOff>
    </xdr:to>
    <xdr:sp macro="" textlink="">
      <xdr:nvSpPr>
        <xdr:cNvPr id="2" name="TextBox 1">
          <a:extLst>
            <a:ext uri="{FF2B5EF4-FFF2-40B4-BE49-F238E27FC236}">
              <a16:creationId xmlns:a16="http://schemas.microsoft.com/office/drawing/2014/main" id="{400A0A97-D12E-E24D-7B35-BFA630AC53C7}"/>
            </a:ext>
          </a:extLst>
        </xdr:cNvPr>
        <xdr:cNvSpPr txBox="1"/>
      </xdr:nvSpPr>
      <xdr:spPr>
        <a:xfrm>
          <a:off x="9251950" y="0"/>
          <a:ext cx="2781300" cy="5067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Have you ever thought about what happens behind the products on a beauty store shelf?</a:t>
          </a:r>
        </a:p>
        <a:p>
          <a:endParaRPr lang="en-US" sz="1800"/>
        </a:p>
        <a:p>
          <a:r>
            <a:rPr lang="en-US" sz="1800"/>
            <a:t>Before a skincare or haircare product reaches a customer, there is a whole supply chain behind it: suppliers, manufacturing, inventory, transportation, and delivery.</a:t>
          </a:r>
        </a:p>
        <a:p>
          <a:endParaRPr lang="en-US" sz="1800"/>
        </a:p>
        <a:p>
          <a:r>
            <a:rPr lang="en-US" sz="1800"/>
            <a:t>That is what this project explores: the supply chain performance of Glow Fashion &amp; Beauty Store across India.</a:t>
          </a:r>
        </a:p>
      </xdr:txBody>
    </xdr:sp>
    <xdr:clientData/>
  </xdr:twoCellAnchor>
  <xdr:twoCellAnchor editAs="oneCell">
    <xdr:from>
      <xdr:col>0</xdr:col>
      <xdr:colOff>38100</xdr:colOff>
      <xdr:row>0</xdr:row>
      <xdr:rowOff>12700</xdr:rowOff>
    </xdr:from>
    <xdr:to>
      <xdr:col>15</xdr:col>
      <xdr:colOff>63500</xdr:colOff>
      <xdr:row>27</xdr:row>
      <xdr:rowOff>95250</xdr:rowOff>
    </xdr:to>
    <xdr:pic>
      <xdr:nvPicPr>
        <xdr:cNvPr id="4" name="Picture 3">
          <a:extLst>
            <a:ext uri="{FF2B5EF4-FFF2-40B4-BE49-F238E27FC236}">
              <a16:creationId xmlns:a16="http://schemas.microsoft.com/office/drawing/2014/main" id="{4BED841E-8576-A699-53F9-418D2403E3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12700"/>
          <a:ext cx="9169400" cy="505460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69849</xdr:colOff>
      <xdr:row>0</xdr:row>
      <xdr:rowOff>63500</xdr:rowOff>
    </xdr:from>
    <xdr:to>
      <xdr:col>16</xdr:col>
      <xdr:colOff>548409</xdr:colOff>
      <xdr:row>3</xdr:row>
      <xdr:rowOff>82550</xdr:rowOff>
    </xdr:to>
    <xdr:sp macro="" textlink="">
      <xdr:nvSpPr>
        <xdr:cNvPr id="2" name="TextBox 1">
          <a:extLst>
            <a:ext uri="{FF2B5EF4-FFF2-40B4-BE49-F238E27FC236}">
              <a16:creationId xmlns:a16="http://schemas.microsoft.com/office/drawing/2014/main" id="{05157E96-2176-A0FC-077F-03DC47A34CA0}"/>
            </a:ext>
          </a:extLst>
        </xdr:cNvPr>
        <xdr:cNvSpPr txBox="1"/>
      </xdr:nvSpPr>
      <xdr:spPr>
        <a:xfrm>
          <a:off x="69849" y="63500"/>
          <a:ext cx="10176742" cy="58189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GLOW FASHION &amp; BEAUTY STORE SUPPLY CHAIN ANALYSIS BY MOWANINUOLA UMARUDEEN</a:t>
          </a:r>
        </a:p>
      </xdr:txBody>
    </xdr:sp>
    <xdr:clientData/>
  </xdr:twoCellAnchor>
  <xdr:twoCellAnchor>
    <xdr:from>
      <xdr:col>0</xdr:col>
      <xdr:colOff>63500</xdr:colOff>
      <xdr:row>3</xdr:row>
      <xdr:rowOff>158750</xdr:rowOff>
    </xdr:from>
    <xdr:to>
      <xdr:col>2</xdr:col>
      <xdr:colOff>76200</xdr:colOff>
      <xdr:row>6</xdr:row>
      <xdr:rowOff>158750</xdr:rowOff>
    </xdr:to>
    <xdr:sp macro="" textlink="">
      <xdr:nvSpPr>
        <xdr:cNvPr id="3" name="TextBox 2">
          <a:extLst>
            <a:ext uri="{FF2B5EF4-FFF2-40B4-BE49-F238E27FC236}">
              <a16:creationId xmlns:a16="http://schemas.microsoft.com/office/drawing/2014/main" id="{FEABB751-DC76-8230-A5FA-C8C3EEF832D4}"/>
            </a:ext>
          </a:extLst>
        </xdr:cNvPr>
        <xdr:cNvSpPr txBox="1"/>
      </xdr:nvSpPr>
      <xdr:spPr>
        <a:xfrm>
          <a:off x="63500" y="711200"/>
          <a:ext cx="1231900" cy="552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REVENUE</a:t>
          </a:r>
        </a:p>
        <a:p>
          <a:pPr algn="ctr"/>
          <a:r>
            <a:rPr lang="en-US" sz="1100" b="1" i="0" u="none" strike="noStrike">
              <a:solidFill>
                <a:schemeClr val="dk1"/>
              </a:solidFill>
              <a:effectLst/>
              <a:latin typeface="+mn-lt"/>
              <a:ea typeface="+mn-ea"/>
              <a:cs typeface="+mn-cs"/>
            </a:rPr>
            <a:t>₹</a:t>
          </a:r>
          <a:r>
            <a:rPr lang="en-US" sz="1100" b="0" i="0" u="none" strike="noStrike">
              <a:solidFill>
                <a:schemeClr val="dk1"/>
              </a:solidFill>
              <a:effectLst/>
              <a:latin typeface="+mn-lt"/>
              <a:ea typeface="+mn-ea"/>
              <a:cs typeface="+mn-cs"/>
            </a:rPr>
            <a:t>577,605</a:t>
          </a:r>
          <a:r>
            <a:rPr lang="en-US" b="0">
              <a:effectLst/>
            </a:rPr>
            <a:t> </a:t>
          </a:r>
          <a:endParaRPr lang="en-US" sz="1100" b="0"/>
        </a:p>
      </xdr:txBody>
    </xdr:sp>
    <xdr:clientData/>
  </xdr:twoCellAnchor>
  <xdr:twoCellAnchor>
    <xdr:from>
      <xdr:col>4</xdr:col>
      <xdr:colOff>393700</xdr:colOff>
      <xdr:row>3</xdr:row>
      <xdr:rowOff>158750</xdr:rowOff>
    </xdr:from>
    <xdr:to>
      <xdr:col>7</xdr:col>
      <xdr:colOff>228600</xdr:colOff>
      <xdr:row>6</xdr:row>
      <xdr:rowOff>158750</xdr:rowOff>
    </xdr:to>
    <xdr:sp macro="" textlink="">
      <xdr:nvSpPr>
        <xdr:cNvPr id="4" name="TextBox 3">
          <a:extLst>
            <a:ext uri="{FF2B5EF4-FFF2-40B4-BE49-F238E27FC236}">
              <a16:creationId xmlns:a16="http://schemas.microsoft.com/office/drawing/2014/main" id="{49ECEB02-68D3-E675-8ACD-4621C34D4963}"/>
            </a:ext>
          </a:extLst>
        </xdr:cNvPr>
        <xdr:cNvSpPr txBox="1"/>
      </xdr:nvSpPr>
      <xdr:spPr>
        <a:xfrm>
          <a:off x="2832100" y="711200"/>
          <a:ext cx="1663700" cy="552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u="none" strike="noStrike">
              <a:solidFill>
                <a:schemeClr val="dk1"/>
              </a:solidFill>
              <a:effectLst/>
              <a:latin typeface="+mn-lt"/>
              <a:ea typeface="+mn-ea"/>
              <a:cs typeface="+mn-cs"/>
            </a:rPr>
            <a:t>BEST</a:t>
          </a:r>
          <a:r>
            <a:rPr lang="en-US" sz="1100" b="1" u="none" strike="noStrike" baseline="0">
              <a:solidFill>
                <a:schemeClr val="dk1"/>
              </a:solidFill>
              <a:effectLst/>
              <a:latin typeface="+mn-lt"/>
              <a:ea typeface="+mn-ea"/>
              <a:cs typeface="+mn-cs"/>
            </a:rPr>
            <a:t> SELLER: SKINCARE</a:t>
          </a:r>
          <a:br>
            <a:rPr lang="en-US" sz="1100" b="0" u="none" strike="noStrike">
              <a:solidFill>
                <a:schemeClr val="dk1"/>
              </a:solidFill>
              <a:effectLst/>
              <a:latin typeface="+mn-lt"/>
              <a:ea typeface="+mn-ea"/>
              <a:cs typeface="+mn-cs"/>
            </a:rPr>
          </a:br>
          <a:r>
            <a:rPr lang="en-US" sz="1100" b="0" u="none" strike="noStrike">
              <a:solidFill>
                <a:schemeClr val="dk1"/>
              </a:solidFill>
              <a:effectLst/>
              <a:latin typeface="+mn-lt"/>
              <a:ea typeface="+mn-ea"/>
              <a:cs typeface="+mn-cs"/>
            </a:rPr>
            <a:t>₹241,628 (41.8%)</a:t>
          </a:r>
        </a:p>
        <a:p>
          <a:endParaRPr lang="en-US" sz="1100"/>
        </a:p>
      </xdr:txBody>
    </xdr:sp>
    <xdr:clientData/>
  </xdr:twoCellAnchor>
  <xdr:twoCellAnchor>
    <xdr:from>
      <xdr:col>2</xdr:col>
      <xdr:colOff>120650</xdr:colOff>
      <xdr:row>3</xdr:row>
      <xdr:rowOff>152400</xdr:rowOff>
    </xdr:from>
    <xdr:to>
      <xdr:col>4</xdr:col>
      <xdr:colOff>342900</xdr:colOff>
      <xdr:row>6</xdr:row>
      <xdr:rowOff>152400</xdr:rowOff>
    </xdr:to>
    <xdr:sp macro="" textlink="">
      <xdr:nvSpPr>
        <xdr:cNvPr id="5" name="TextBox 4">
          <a:extLst>
            <a:ext uri="{FF2B5EF4-FFF2-40B4-BE49-F238E27FC236}">
              <a16:creationId xmlns:a16="http://schemas.microsoft.com/office/drawing/2014/main" id="{9F4F512A-9450-39D0-AF21-8FCB468B7FB9}"/>
            </a:ext>
          </a:extLst>
        </xdr:cNvPr>
        <xdr:cNvSpPr txBox="1"/>
      </xdr:nvSpPr>
      <xdr:spPr>
        <a:xfrm>
          <a:off x="1339850" y="704850"/>
          <a:ext cx="1441450" cy="552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u="none" strike="noStrike">
              <a:solidFill>
                <a:schemeClr val="dk1"/>
              </a:solidFill>
              <a:effectLst/>
              <a:latin typeface="+mn-lt"/>
              <a:ea typeface="+mn-ea"/>
              <a:cs typeface="+mn-cs"/>
            </a:rPr>
            <a:t>TOTAL UNITS </a:t>
          </a:r>
          <a:r>
            <a:rPr lang="en-US" sz="1100" b="0">
              <a:solidFill>
                <a:schemeClr val="dk1"/>
              </a:solidFill>
              <a:effectLst/>
              <a:latin typeface="+mn-lt"/>
              <a:ea typeface="+mn-ea"/>
              <a:cs typeface="+mn-cs"/>
            </a:rPr>
            <a:t>SOLD</a:t>
          </a:r>
          <a:br>
            <a:rPr lang="en-US"/>
          </a:br>
          <a:r>
            <a:rPr lang="en-US"/>
            <a:t>46,099 </a:t>
          </a:r>
          <a:r>
            <a:rPr lang="en-US" sz="1100" b="1">
              <a:solidFill>
                <a:schemeClr val="dk1"/>
              </a:solidFill>
              <a:latin typeface="+mn-lt"/>
              <a:ea typeface="+mn-ea"/>
              <a:cs typeface="+mn-cs"/>
            </a:rPr>
            <a:t>units</a:t>
          </a:r>
        </a:p>
        <a:p>
          <a:endParaRPr lang="en-US" sz="1100"/>
        </a:p>
      </xdr:txBody>
    </xdr:sp>
    <xdr:clientData/>
  </xdr:twoCellAnchor>
  <xdr:twoCellAnchor>
    <xdr:from>
      <xdr:col>14</xdr:col>
      <xdr:colOff>171450</xdr:colOff>
      <xdr:row>3</xdr:row>
      <xdr:rowOff>152400</xdr:rowOff>
    </xdr:from>
    <xdr:to>
      <xdr:col>16</xdr:col>
      <xdr:colOff>539750</xdr:colOff>
      <xdr:row>6</xdr:row>
      <xdr:rowOff>152400</xdr:rowOff>
    </xdr:to>
    <xdr:sp macro="" textlink="">
      <xdr:nvSpPr>
        <xdr:cNvPr id="6" name="TextBox 5">
          <a:extLst>
            <a:ext uri="{FF2B5EF4-FFF2-40B4-BE49-F238E27FC236}">
              <a16:creationId xmlns:a16="http://schemas.microsoft.com/office/drawing/2014/main" id="{3D793810-FC54-6CD4-BD0D-8C8BA40D966B}"/>
            </a:ext>
          </a:extLst>
        </xdr:cNvPr>
        <xdr:cNvSpPr txBox="1"/>
      </xdr:nvSpPr>
      <xdr:spPr>
        <a:xfrm>
          <a:off x="8705850" y="704850"/>
          <a:ext cx="1587500" cy="552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chemeClr val="dk1"/>
              </a:solidFill>
              <a:effectLst/>
              <a:latin typeface="+mn-lt"/>
              <a:ea typeface="+mn-ea"/>
              <a:cs typeface="+mn-cs"/>
            </a:rPr>
            <a:t>TOP TRANSPORT MODE</a:t>
          </a:r>
          <a:br>
            <a:rPr lang="en-US"/>
          </a:br>
          <a:r>
            <a:rPr lang="en-US"/>
            <a:t>Rail | ₹164,990</a:t>
          </a:r>
          <a:endParaRPr lang="en-US" sz="1100" b="0" u="none" strike="noStrike">
            <a:solidFill>
              <a:schemeClr val="dk1"/>
            </a:solidFill>
            <a:effectLst/>
            <a:latin typeface="+mn-lt"/>
            <a:ea typeface="+mn-ea"/>
            <a:cs typeface="+mn-cs"/>
          </a:endParaRPr>
        </a:p>
      </xdr:txBody>
    </xdr:sp>
    <xdr:clientData/>
  </xdr:twoCellAnchor>
  <xdr:twoCellAnchor>
    <xdr:from>
      <xdr:col>11</xdr:col>
      <xdr:colOff>133350</xdr:colOff>
      <xdr:row>3</xdr:row>
      <xdr:rowOff>158750</xdr:rowOff>
    </xdr:from>
    <xdr:to>
      <xdr:col>14</xdr:col>
      <xdr:colOff>120650</xdr:colOff>
      <xdr:row>6</xdr:row>
      <xdr:rowOff>158750</xdr:rowOff>
    </xdr:to>
    <xdr:sp macro="" textlink="">
      <xdr:nvSpPr>
        <xdr:cNvPr id="7" name="TextBox 6">
          <a:extLst>
            <a:ext uri="{FF2B5EF4-FFF2-40B4-BE49-F238E27FC236}">
              <a16:creationId xmlns:a16="http://schemas.microsoft.com/office/drawing/2014/main" id="{40E907D3-855F-852E-F87C-2EAC16D664E2}"/>
            </a:ext>
          </a:extLst>
        </xdr:cNvPr>
        <xdr:cNvSpPr txBox="1"/>
      </xdr:nvSpPr>
      <xdr:spPr>
        <a:xfrm>
          <a:off x="6838950" y="711200"/>
          <a:ext cx="1816100" cy="552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u="none" strike="noStrike">
              <a:solidFill>
                <a:schemeClr val="dk1"/>
              </a:solidFill>
              <a:effectLst/>
              <a:latin typeface="+mn-lt"/>
              <a:ea typeface="+mn-ea"/>
              <a:cs typeface="+mn-cs"/>
            </a:rPr>
            <a:t>TOP</a:t>
          </a:r>
          <a:r>
            <a:rPr lang="en-US" sz="1100" b="1" u="none" strike="noStrike" baseline="0">
              <a:solidFill>
                <a:schemeClr val="dk1"/>
              </a:solidFill>
              <a:effectLst/>
              <a:latin typeface="+mn-lt"/>
              <a:ea typeface="+mn-ea"/>
              <a:cs typeface="+mn-cs"/>
            </a:rPr>
            <a:t> SPECIFIED CUSTOMER: </a:t>
          </a:r>
        </a:p>
        <a:p>
          <a:pPr algn="ctr"/>
          <a:r>
            <a:rPr lang="en-US" sz="1100" b="1" u="none" strike="noStrike" baseline="0">
              <a:solidFill>
                <a:schemeClr val="dk1"/>
              </a:solidFill>
              <a:effectLst/>
              <a:latin typeface="+mn-lt"/>
              <a:ea typeface="+mn-ea"/>
              <a:cs typeface="+mn-cs"/>
            </a:rPr>
            <a:t>FEMALE |</a:t>
          </a:r>
          <a:r>
            <a:rPr lang="en-US" sz="1100" b="0" u="none" strike="noStrike">
              <a:solidFill>
                <a:schemeClr val="dk1"/>
              </a:solidFill>
              <a:effectLst/>
              <a:latin typeface="+mn-lt"/>
              <a:ea typeface="+mn-ea"/>
              <a:cs typeface="+mn-cs"/>
            </a:rPr>
            <a:t>₹161,514 (28.0%)</a:t>
          </a:r>
        </a:p>
      </xdr:txBody>
    </xdr:sp>
    <xdr:clientData/>
  </xdr:twoCellAnchor>
  <xdr:twoCellAnchor>
    <xdr:from>
      <xdr:col>7</xdr:col>
      <xdr:colOff>279400</xdr:colOff>
      <xdr:row>3</xdr:row>
      <xdr:rowOff>158750</xdr:rowOff>
    </xdr:from>
    <xdr:to>
      <xdr:col>11</xdr:col>
      <xdr:colOff>88900</xdr:colOff>
      <xdr:row>6</xdr:row>
      <xdr:rowOff>158750</xdr:rowOff>
    </xdr:to>
    <xdr:sp macro="" textlink="">
      <xdr:nvSpPr>
        <xdr:cNvPr id="8" name="TextBox 7">
          <a:extLst>
            <a:ext uri="{FF2B5EF4-FFF2-40B4-BE49-F238E27FC236}">
              <a16:creationId xmlns:a16="http://schemas.microsoft.com/office/drawing/2014/main" id="{9BE67586-9949-CBA0-50AA-04AE1939889B}"/>
            </a:ext>
          </a:extLst>
        </xdr:cNvPr>
        <xdr:cNvSpPr txBox="1"/>
      </xdr:nvSpPr>
      <xdr:spPr>
        <a:xfrm>
          <a:off x="4546600" y="711200"/>
          <a:ext cx="2247900" cy="552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chemeClr val="dk1"/>
              </a:solidFill>
              <a:effectLst/>
              <a:latin typeface="+mn-lt"/>
              <a:ea typeface="+mn-ea"/>
              <a:cs typeface="+mn-cs"/>
            </a:rPr>
            <a:t>TOP</a:t>
          </a:r>
          <a:r>
            <a:rPr lang="en-US" sz="1100" b="1" u="none" strike="noStrike" baseline="0">
              <a:solidFill>
                <a:schemeClr val="dk1"/>
              </a:solidFill>
              <a:effectLst/>
              <a:latin typeface="+mn-lt"/>
              <a:ea typeface="+mn-ea"/>
              <a:cs typeface="+mn-cs"/>
            </a:rPr>
            <a:t> REGIONAL PRODUCT:</a:t>
          </a:r>
          <a:r>
            <a:rPr lang="en-US" sz="1100" b="1" u="none" strike="noStrike">
              <a:solidFill>
                <a:schemeClr val="dk1"/>
              </a:solidFill>
              <a:effectLst/>
              <a:latin typeface="+mn-lt"/>
              <a:ea typeface="+mn-ea"/>
              <a:cs typeface="+mn-cs"/>
            </a:rPr>
            <a:t>KOLKOTA</a:t>
          </a:r>
          <a:r>
            <a:rPr lang="en-US" sz="1100" b="1" u="none" strike="noStrike" baseline="0">
              <a:solidFill>
                <a:schemeClr val="dk1"/>
              </a:solidFill>
              <a:effectLst/>
              <a:latin typeface="+mn-lt"/>
              <a:ea typeface="+mn-ea"/>
              <a:cs typeface="+mn-cs"/>
            </a:rPr>
            <a:t> SKINCARE</a:t>
          </a:r>
          <a:r>
            <a:rPr lang="en-US" sz="1100" b="0" u="none" strike="noStrike" baseline="0">
              <a:solidFill>
                <a:schemeClr val="dk1"/>
              </a:solidFill>
              <a:effectLst/>
              <a:latin typeface="+mn-lt"/>
              <a:ea typeface="+mn-ea"/>
              <a:cs typeface="+mn-cs"/>
            </a:rPr>
            <a:t> | </a:t>
          </a:r>
          <a:r>
            <a:rPr lang="en-US" sz="1100" b="0" u="none" strike="noStrike">
              <a:solidFill>
                <a:schemeClr val="dk1"/>
              </a:solidFill>
              <a:effectLst/>
              <a:latin typeface="+mn-lt"/>
              <a:ea typeface="+mn-ea"/>
              <a:cs typeface="+mn-cs"/>
            </a:rPr>
            <a:t>₹77,886 (8,101 Units)</a:t>
          </a:r>
        </a:p>
      </xdr:txBody>
    </xdr:sp>
    <xdr:clientData/>
  </xdr:twoCellAnchor>
  <xdr:twoCellAnchor>
    <xdr:from>
      <xdr:col>0</xdr:col>
      <xdr:colOff>64942</xdr:colOff>
      <xdr:row>7</xdr:row>
      <xdr:rowOff>0</xdr:rowOff>
    </xdr:from>
    <xdr:to>
      <xdr:col>6</xdr:col>
      <xdr:colOff>36079</xdr:colOff>
      <xdr:row>17</xdr:row>
      <xdr:rowOff>133350</xdr:rowOff>
    </xdr:to>
    <xdr:graphicFrame macro="">
      <xdr:nvGraphicFramePr>
        <xdr:cNvPr id="9" name="Chart 8">
          <a:extLst>
            <a:ext uri="{FF2B5EF4-FFF2-40B4-BE49-F238E27FC236}">
              <a16:creationId xmlns:a16="http://schemas.microsoft.com/office/drawing/2014/main" id="{490C4148-8986-4F9E-8358-CED697EA0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86591</xdr:colOff>
      <xdr:row>7</xdr:row>
      <xdr:rowOff>0</xdr:rowOff>
    </xdr:from>
    <xdr:to>
      <xdr:col>10</xdr:col>
      <xdr:colOff>541193</xdr:colOff>
      <xdr:row>17</xdr:row>
      <xdr:rowOff>127000</xdr:rowOff>
    </xdr:to>
    <xdr:graphicFrame macro="">
      <xdr:nvGraphicFramePr>
        <xdr:cNvPr id="10" name="Chart 9">
          <a:extLst>
            <a:ext uri="{FF2B5EF4-FFF2-40B4-BE49-F238E27FC236}">
              <a16:creationId xmlns:a16="http://schemas.microsoft.com/office/drawing/2014/main" id="{392EB500-FED2-497E-A7B7-847B94E47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584488</xdr:colOff>
      <xdr:row>7</xdr:row>
      <xdr:rowOff>6350</xdr:rowOff>
    </xdr:from>
    <xdr:to>
      <xdr:col>16</xdr:col>
      <xdr:colOff>108238</xdr:colOff>
      <xdr:row>17</xdr:row>
      <xdr:rowOff>127000</xdr:rowOff>
    </xdr:to>
    <xdr:graphicFrame macro="">
      <xdr:nvGraphicFramePr>
        <xdr:cNvPr id="11" name="Chart 10">
          <a:extLst>
            <a:ext uri="{FF2B5EF4-FFF2-40B4-BE49-F238E27FC236}">
              <a16:creationId xmlns:a16="http://schemas.microsoft.com/office/drawing/2014/main" id="{036C9F0F-8789-40C4-B285-25B380D56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64944</xdr:colOff>
      <xdr:row>17</xdr:row>
      <xdr:rowOff>165966</xdr:rowOff>
    </xdr:from>
    <xdr:to>
      <xdr:col>6</xdr:col>
      <xdr:colOff>50512</xdr:colOff>
      <xdr:row>30</xdr:row>
      <xdr:rowOff>0</xdr:rowOff>
    </xdr:to>
    <xdr:graphicFrame macro="">
      <xdr:nvGraphicFramePr>
        <xdr:cNvPr id="12" name="Chart 11">
          <a:extLst>
            <a:ext uri="{FF2B5EF4-FFF2-40B4-BE49-F238E27FC236}">
              <a16:creationId xmlns:a16="http://schemas.microsoft.com/office/drawing/2014/main" id="{FF436805-852F-46A9-8924-A61AFE1FB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151534</xdr:colOff>
      <xdr:row>7</xdr:row>
      <xdr:rowOff>7216</xdr:rowOff>
    </xdr:from>
    <xdr:to>
      <xdr:col>22</xdr:col>
      <xdr:colOff>252555</xdr:colOff>
      <xdr:row>17</xdr:row>
      <xdr:rowOff>115454</xdr:rowOff>
    </xdr:to>
    <xdr:graphicFrame macro="">
      <xdr:nvGraphicFramePr>
        <xdr:cNvPr id="13" name="Chart 12">
          <a:extLst>
            <a:ext uri="{FF2B5EF4-FFF2-40B4-BE49-F238E27FC236}">
              <a16:creationId xmlns:a16="http://schemas.microsoft.com/office/drawing/2014/main" id="{93EB5934-766B-407A-83E1-3177A4E67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93808</xdr:colOff>
      <xdr:row>17</xdr:row>
      <xdr:rowOff>173182</xdr:rowOff>
    </xdr:from>
    <xdr:to>
      <xdr:col>10</xdr:col>
      <xdr:colOff>555626</xdr:colOff>
      <xdr:row>30</xdr:row>
      <xdr:rowOff>14432</xdr:rowOff>
    </xdr:to>
    <xdr:graphicFrame macro="">
      <xdr:nvGraphicFramePr>
        <xdr:cNvPr id="14" name="Chart 13">
          <a:extLst>
            <a:ext uri="{FF2B5EF4-FFF2-40B4-BE49-F238E27FC236}">
              <a16:creationId xmlns:a16="http://schemas.microsoft.com/office/drawing/2014/main" id="{A30C631B-E200-4E38-8742-C80966C01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584487</xdr:colOff>
      <xdr:row>17</xdr:row>
      <xdr:rowOff>165966</xdr:rowOff>
    </xdr:from>
    <xdr:to>
      <xdr:col>16</xdr:col>
      <xdr:colOff>115454</xdr:colOff>
      <xdr:row>30</xdr:row>
      <xdr:rowOff>29440</xdr:rowOff>
    </xdr:to>
    <xdr:graphicFrame macro="">
      <xdr:nvGraphicFramePr>
        <xdr:cNvPr id="15" name="Chart 14">
          <a:extLst>
            <a:ext uri="{FF2B5EF4-FFF2-40B4-BE49-F238E27FC236}">
              <a16:creationId xmlns:a16="http://schemas.microsoft.com/office/drawing/2014/main" id="{116032B5-C660-4B90-BDD0-E091D075B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151534</xdr:colOff>
      <xdr:row>17</xdr:row>
      <xdr:rowOff>158750</xdr:rowOff>
    </xdr:from>
    <xdr:to>
      <xdr:col>22</xdr:col>
      <xdr:colOff>245342</xdr:colOff>
      <xdr:row>30</xdr:row>
      <xdr:rowOff>14432</xdr:rowOff>
    </xdr:to>
    <xdr:graphicFrame macro="">
      <xdr:nvGraphicFramePr>
        <xdr:cNvPr id="16" name="Chart 15">
          <a:extLst>
            <a:ext uri="{FF2B5EF4-FFF2-40B4-BE49-F238E27FC236}">
              <a16:creationId xmlns:a16="http://schemas.microsoft.com/office/drawing/2014/main" id="{C82492B4-0231-401D-859B-0F7797718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598920</xdr:colOff>
      <xdr:row>0</xdr:row>
      <xdr:rowOff>64943</xdr:rowOff>
    </xdr:from>
    <xdr:to>
      <xdr:col>19</xdr:col>
      <xdr:colOff>457777</xdr:colOff>
      <xdr:row>6</xdr:row>
      <xdr:rowOff>129886</xdr:rowOff>
    </xdr:to>
    <mc:AlternateContent xmlns:mc="http://schemas.openxmlformats.org/markup-compatibility/2006" xmlns:a14="http://schemas.microsoft.com/office/drawing/2010/main">
      <mc:Choice Requires="a14">
        <xdr:graphicFrame macro="">
          <xdr:nvGraphicFramePr>
            <xdr:cNvPr id="17" name="Product type">
              <a:extLst>
                <a:ext uri="{FF2B5EF4-FFF2-40B4-BE49-F238E27FC236}">
                  <a16:creationId xmlns:a16="http://schemas.microsoft.com/office/drawing/2014/main" id="{3BA7EBB9-8F5A-497C-94F1-42D636D69633}"/>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0297102" y="64943"/>
              <a:ext cx="1677266"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497896</xdr:colOff>
      <xdr:row>0</xdr:row>
      <xdr:rowOff>55997</xdr:rowOff>
    </xdr:from>
    <xdr:to>
      <xdr:col>22</xdr:col>
      <xdr:colOff>230908</xdr:colOff>
      <xdr:row>6</xdr:row>
      <xdr:rowOff>108239</xdr:rowOff>
    </xdr:to>
    <mc:AlternateContent xmlns:mc="http://schemas.openxmlformats.org/markup-compatibility/2006" xmlns:a14="http://schemas.microsoft.com/office/drawing/2010/main">
      <mc:Choice Requires="a14">
        <xdr:graphicFrame macro="">
          <xdr:nvGraphicFramePr>
            <xdr:cNvPr id="19" name="Location">
              <a:extLst>
                <a:ext uri="{FF2B5EF4-FFF2-40B4-BE49-F238E27FC236}">
                  <a16:creationId xmlns:a16="http://schemas.microsoft.com/office/drawing/2014/main" id="{7F610015-6649-2517-DEAF-FFB3D0710F6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014487" y="55997"/>
              <a:ext cx="1551421" cy="1177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0</xdr:row>
      <xdr:rowOff>165100</xdr:rowOff>
    </xdr:from>
    <xdr:to>
      <xdr:col>7</xdr:col>
      <xdr:colOff>495300</xdr:colOff>
      <xdr:row>12</xdr:row>
      <xdr:rowOff>158750</xdr:rowOff>
    </xdr:to>
    <xdr:sp macro="" textlink="">
      <xdr:nvSpPr>
        <xdr:cNvPr id="2" name="TextBox 1">
          <a:extLst>
            <a:ext uri="{FF2B5EF4-FFF2-40B4-BE49-F238E27FC236}">
              <a16:creationId xmlns:a16="http://schemas.microsoft.com/office/drawing/2014/main" id="{A1C40471-1F60-597D-9E2A-5C2B5D79527D}"/>
            </a:ext>
          </a:extLst>
        </xdr:cNvPr>
        <xdr:cNvSpPr txBox="1"/>
      </xdr:nvSpPr>
      <xdr:spPr>
        <a:xfrm>
          <a:off x="12700" y="165100"/>
          <a:ext cx="4749800" cy="2203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project is teaching me a lot to pay attention and understand the business questions before answering them, pay attention before interpreting results or your data, amke sure you are interpreting correctly.</a:t>
          </a:r>
        </a:p>
        <a:p>
          <a:endParaRPr lang="en-US" sz="1100"/>
        </a:p>
        <a:p>
          <a:r>
            <a:rPr lang="en-US" sz="1100"/>
            <a:t>Understand the business question,</a:t>
          </a:r>
          <a:r>
            <a:rPr lang="en-US" sz="1100" baseline="0"/>
            <a:t> it's very important. before creating pivot table or building a chart. </a:t>
          </a:r>
        </a:p>
        <a:p>
          <a:endParaRPr lang="en-US" sz="1100" baseline="0"/>
        </a:p>
        <a:p>
          <a:r>
            <a:rPr lang="en-US" sz="1100" baseline="0"/>
            <a:t>I need to learn to think with data and interpret data proeprly.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61.189275694443" createdVersion="8" refreshedVersion="8" minRefreshableVersion="3" recordCount="100" xr:uid="{F808D149-5023-4268-8999-A7247FA0A44E}">
  <cacheSource type="worksheet">
    <worksheetSource name="Glow"/>
  </cacheSource>
  <cacheFields count="25">
    <cacheField name="Product type" numFmtId="0">
      <sharedItems count="3">
        <s v="haircare"/>
        <s v="skincare"/>
        <s v="cosmetics"/>
      </sharedItems>
    </cacheField>
    <cacheField name="SKU" numFmtId="49">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6">
      <sharedItems containsSemiMixedTypes="0" containsString="0" containsNumber="1" minValue="1.7" maxValue="99.171300000000002"/>
    </cacheField>
    <cacheField name="Supplier Availability" numFmtId="1">
      <sharedItems containsSemiMixedTypes="0" containsString="0" containsNumber="1" containsInteger="1" minValue="1" maxValue="100"/>
    </cacheField>
    <cacheField name="Number of products sold" numFmtId="1">
      <sharedItems containsSemiMixedTypes="0" containsString="0" containsNumber="1" containsInteger="1" minValue="8" maxValue="996"/>
    </cacheField>
    <cacheField name="Revenue generated" numFmtId="166">
      <sharedItems containsSemiMixedTypes="0" containsString="0" containsNumber="1" minValue="1061.6185" maxValue="9866.4655000000002"/>
    </cacheField>
    <cacheField name="Customer demographics" numFmtId="49">
      <sharedItems count="4">
        <s v="Non-binary"/>
        <s v="Female"/>
        <s v="Unknown"/>
        <s v="Male"/>
      </sharedItems>
    </cacheField>
    <cacheField name="Glow Stock levels" numFmtId="1">
      <sharedItems containsSemiMixedTypes="0" containsString="0" containsNumber="1" containsInteger="1" minValue="0" maxValue="100"/>
    </cacheField>
    <cacheField name="Order Quantities" numFmtId="1">
      <sharedItems containsSemiMixedTypes="0" containsString="0" containsNumber="1" containsInteger="1" minValue="1" maxValue="96"/>
    </cacheField>
    <cacheField name="Product Lead Time (Days)" numFmtId="0">
      <sharedItems containsSemiMixedTypes="0" containsString="0" containsNumber="1" containsInteger="1" minValue="1" maxValue="30"/>
    </cacheField>
    <cacheField name="Supplier_Name" numFmtId="49">
      <sharedItems/>
    </cacheField>
    <cacheField name="Location" numFmtId="49">
      <sharedItems count="5">
        <s v="Mumbai"/>
        <s v="Kolkata"/>
        <s v="Delhi"/>
        <s v="Bangalore"/>
        <s v="Chennai"/>
      </sharedItems>
    </cacheField>
    <cacheField name="Production volumes" numFmtId="1">
      <sharedItems containsSemiMixedTypes="0" containsString="0" containsNumber="1" containsInteger="1" minValue="104" maxValue="985"/>
    </cacheField>
    <cacheField name="Manufacturing lead Time (days)" numFmtId="0">
      <sharedItems containsSemiMixedTypes="0" containsString="0" containsNumber="1" containsInteger="1" minValue="1" maxValue="30"/>
    </cacheField>
    <cacheField name="Manufacturing costs" numFmtId="166">
      <sharedItems containsSemiMixedTypes="0" containsString="0" containsNumber="1" minValue="1.0851" maxValue="99.466099999999997"/>
    </cacheField>
    <cacheField name="Inspection results" numFmtId="49">
      <sharedItems/>
    </cacheField>
    <cacheField name="Defect rates" numFmtId="2">
      <sharedItems containsSemiMixedTypes="0" containsString="0" containsNumber="1" minValue="1.8607567631014899E-2" maxValue="4.9392552886209398"/>
    </cacheField>
    <cacheField name="Defect Rate (%)" numFmtId="10">
      <sharedItems containsSemiMixedTypes="0" containsString="0" containsNumber="1" minValue="1.8607567631014898E-4" maxValue="4.9392552886209397E-2"/>
    </cacheField>
    <cacheField name="Shipping times" numFmtId="1">
      <sharedItems containsSemiMixedTypes="0" containsString="0" containsNumber="1" containsInteger="1" minValue="1" maxValue="10"/>
    </cacheField>
    <cacheField name="Shipping carriers" numFmtId="49">
      <sharedItems count="3">
        <s v="Carrier B"/>
        <s v="Carrier A"/>
        <s v="Carrier C"/>
      </sharedItems>
    </cacheField>
    <cacheField name="Shipping costs" numFmtId="166">
      <sharedItems containsSemiMixedTypes="0" containsString="0" containsNumber="1" minValue="1.0134865660958901" maxValue="9.9298162452772498"/>
    </cacheField>
    <cacheField name="Supplier Lead time (Days)" numFmtId="1">
      <sharedItems containsSemiMixedTypes="0" containsString="0" containsNumber="1" containsInteger="1" minValue="1" maxValue="30"/>
    </cacheField>
    <cacheField name="Transportation modes" numFmtId="49">
      <sharedItems count="4">
        <s v="Road"/>
        <s v="Air"/>
        <s v="Rail"/>
        <s v="Sea"/>
      </sharedItems>
    </cacheField>
    <cacheField name="Routes" numFmtId="49">
      <sharedItems count="3">
        <s v="Route B"/>
        <s v="Route C"/>
        <s v="Route A"/>
      </sharedItems>
    </cacheField>
    <cacheField name="Costs" numFmtId="166">
      <sharedItems containsSemiMixedTypes="0" containsString="0" containsNumber="1" minValue="103.9162" maxValue="997.4135"/>
    </cacheField>
  </cacheFields>
  <extLst>
    <ext xmlns:x14="http://schemas.microsoft.com/office/spreadsheetml/2009/9/main" uri="{725AE2AE-9491-48be-B2B4-4EB974FC3084}">
      <x14:pivotCacheDefinition pivotCacheId="929555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0000000007"/>
    <n v="55"/>
    <n v="802"/>
    <n v="8661.9968000000008"/>
    <x v="0"/>
    <n v="58"/>
    <n v="96"/>
    <n v="7"/>
    <s v="Supplier 3"/>
    <x v="0"/>
    <n v="215"/>
    <n v="29"/>
    <n v="46.279899999999998"/>
    <s v="Pending"/>
    <n v="0.226410360849925"/>
    <n v="2.2641036084992501E-3"/>
    <n v="4"/>
    <x v="0"/>
    <n v="2.9565721394308002"/>
    <n v="29"/>
    <x v="0"/>
    <x v="0"/>
    <n v="187.75210000000001"/>
  </r>
  <r>
    <x v="1"/>
    <x v="1"/>
    <n v="14.843500000000001"/>
    <n v="95"/>
    <n v="736"/>
    <n v="7460.9000999999998"/>
    <x v="1"/>
    <n v="53"/>
    <n v="37"/>
    <n v="30"/>
    <s v="Supplier 3"/>
    <x v="0"/>
    <n v="517"/>
    <n v="30"/>
    <n v="33.616799999999998"/>
    <s v="Pending"/>
    <n v="4.8540680263886999"/>
    <n v="4.8540680263886998E-2"/>
    <n v="2"/>
    <x v="1"/>
    <n v="9.7165747714313095"/>
    <n v="23"/>
    <x v="0"/>
    <x v="0"/>
    <n v="503.06560000000002"/>
  </r>
  <r>
    <x v="0"/>
    <x v="2"/>
    <n v="11.319699999999999"/>
    <n v="34"/>
    <n v="8"/>
    <n v="9577.7495999999992"/>
    <x v="2"/>
    <n v="1"/>
    <n v="88"/>
    <n v="10"/>
    <s v="Supplier 1"/>
    <x v="0"/>
    <n v="971"/>
    <n v="27"/>
    <n v="30.687999999999999"/>
    <s v="Pending"/>
    <n v="4.5805926191992201"/>
    <n v="4.5805926191992204E-2"/>
    <n v="2"/>
    <x v="0"/>
    <n v="8.0544792617321495"/>
    <n v="12"/>
    <x v="1"/>
    <x v="1"/>
    <n v="141.9203"/>
  </r>
  <r>
    <x v="1"/>
    <x v="3"/>
    <n v="61.1633"/>
    <n v="68"/>
    <n v="83"/>
    <n v="7766.8364000000001"/>
    <x v="0"/>
    <n v="23"/>
    <n v="59"/>
    <n v="13"/>
    <s v="Supplier 5"/>
    <x v="1"/>
    <n v="937"/>
    <n v="18"/>
    <n v="35.624699999999997"/>
    <s v="Fail"/>
    <n v="4.7466486206477496"/>
    <n v="4.7466486206477497E-2"/>
    <n v="6"/>
    <x v="2"/>
    <n v="1.7295685635434199"/>
    <n v="24"/>
    <x v="2"/>
    <x v="2"/>
    <n v="254.77619999999999"/>
  </r>
  <r>
    <x v="1"/>
    <x v="4"/>
    <n v="4.8055000000000003"/>
    <n v="26"/>
    <n v="871"/>
    <n v="2686.5052000000001"/>
    <x v="0"/>
    <n v="5"/>
    <n v="56"/>
    <n v="3"/>
    <s v="Supplier 1"/>
    <x v="2"/>
    <n v="414"/>
    <n v="3"/>
    <n v="92.065200000000004"/>
    <s v="Fail"/>
    <n v="3.1455795228330001"/>
    <n v="3.1455795228330002E-2"/>
    <n v="8"/>
    <x v="1"/>
    <n v="3.8905479158706702"/>
    <n v="5"/>
    <x v="1"/>
    <x v="2"/>
    <n v="923.44060000000002"/>
  </r>
  <r>
    <x v="0"/>
    <x v="5"/>
    <n v="1.7"/>
    <n v="87"/>
    <n v="147"/>
    <n v="2828.3487"/>
    <x v="0"/>
    <n v="90"/>
    <n v="66"/>
    <n v="27"/>
    <s v="Supplier 4"/>
    <x v="3"/>
    <n v="104"/>
    <n v="17"/>
    <n v="56.766500000000001"/>
    <s v="Fail"/>
    <n v="2.7791935115711599"/>
    <n v="2.77919351157116E-2"/>
    <n v="3"/>
    <x v="0"/>
    <n v="4.4440988643822896"/>
    <n v="10"/>
    <x v="0"/>
    <x v="2"/>
    <n v="235.46119999999999"/>
  </r>
  <r>
    <x v="1"/>
    <x v="6"/>
    <n v="4.0782999999999996"/>
    <n v="48"/>
    <n v="65"/>
    <n v="7823.4766"/>
    <x v="3"/>
    <n v="11"/>
    <n v="58"/>
    <n v="15"/>
    <s v="Supplier 3"/>
    <x v="1"/>
    <n v="314"/>
    <n v="24"/>
    <n v="1.0851"/>
    <s v="Pending"/>
    <n v="1.0009106193041299"/>
    <n v="1.00091061930413E-2"/>
    <n v="8"/>
    <x v="2"/>
    <n v="3.8807633029519999"/>
    <n v="14"/>
    <x v="3"/>
    <x v="2"/>
    <n v="134.3691"/>
  </r>
  <r>
    <x v="2"/>
    <x v="7"/>
    <n v="42.958399999999997"/>
    <n v="59"/>
    <n v="426"/>
    <n v="8496.1038000000008"/>
    <x v="1"/>
    <n v="93"/>
    <n v="11"/>
    <n v="17"/>
    <s v="Supplier 4"/>
    <x v="3"/>
    <n v="564"/>
    <n v="1"/>
    <n v="99.466099999999997"/>
    <s v="Fail"/>
    <n v="0.39817718685065001"/>
    <n v="3.9817718685065005E-3"/>
    <n v="1"/>
    <x v="0"/>
    <n v="2.3483387844177801"/>
    <n v="22"/>
    <x v="0"/>
    <x v="1"/>
    <n v="802.05629999999996"/>
  </r>
  <r>
    <x v="2"/>
    <x v="8"/>
    <n v="68.717600000000004"/>
    <n v="78"/>
    <n v="150"/>
    <n v="7517.3631999999998"/>
    <x v="1"/>
    <n v="5"/>
    <n v="15"/>
    <n v="10"/>
    <s v="Supplier 4"/>
    <x v="0"/>
    <n v="769"/>
    <n v="8"/>
    <n v="11.423"/>
    <s v="Pending"/>
    <n v="2.7098626911099601"/>
    <n v="2.7098626911099603E-2"/>
    <n v="7"/>
    <x v="2"/>
    <n v="3.4047338570830199"/>
    <n v="13"/>
    <x v="3"/>
    <x v="0"/>
    <n v="505.55709999999999"/>
  </r>
  <r>
    <x v="1"/>
    <x v="9"/>
    <n v="64.015699999999995"/>
    <n v="35"/>
    <n v="980"/>
    <n v="4971.1459999999997"/>
    <x v="2"/>
    <n v="14"/>
    <n v="83"/>
    <n v="27"/>
    <s v="Supplier 2"/>
    <x v="4"/>
    <n v="963"/>
    <n v="23"/>
    <n v="47.957599999999999"/>
    <s v="Pending"/>
    <n v="3.8446144787675798"/>
    <n v="3.8446144787675801E-2"/>
    <n v="1"/>
    <x v="1"/>
    <n v="7.1666452910482104"/>
    <n v="29"/>
    <x v="2"/>
    <x v="0"/>
    <n v="995.92949999999996"/>
  </r>
  <r>
    <x v="1"/>
    <x v="10"/>
    <n v="15.707800000000001"/>
    <n v="11"/>
    <n v="996"/>
    <n v="2330.9657999999999"/>
    <x v="0"/>
    <n v="51"/>
    <n v="80"/>
    <n v="13"/>
    <s v="Supplier 5"/>
    <x v="1"/>
    <n v="830"/>
    <n v="5"/>
    <n v="96.5274"/>
    <s v="Pass"/>
    <n v="1.72731392835594"/>
    <n v="1.7273139283559402E-2"/>
    <n v="2"/>
    <x v="2"/>
    <n v="8.6732112112786108"/>
    <n v="18"/>
    <x v="0"/>
    <x v="0"/>
    <n v="806.10320000000002"/>
  </r>
  <r>
    <x v="1"/>
    <x v="11"/>
    <n v="90.635499999999993"/>
    <n v="95"/>
    <n v="960"/>
    <n v="6099.9440999999997"/>
    <x v="1"/>
    <n v="46"/>
    <n v="60"/>
    <n v="23"/>
    <s v="Supplier 2"/>
    <x v="1"/>
    <n v="362"/>
    <n v="11"/>
    <n v="27.592400000000001"/>
    <s v="Pending"/>
    <n v="2.1169821372994301E-2"/>
    <n v="2.11698213729943E-4"/>
    <n v="1"/>
    <x v="1"/>
    <n v="4.5239431243166601"/>
    <n v="28"/>
    <x v="1"/>
    <x v="2"/>
    <n v="126.723"/>
  </r>
  <r>
    <x v="0"/>
    <x v="12"/>
    <n v="71.213399999999993"/>
    <n v="41"/>
    <n v="336"/>
    <n v="2873.7413999999999"/>
    <x v="2"/>
    <n v="100"/>
    <n v="85"/>
    <n v="30"/>
    <s v="Supplier 4"/>
    <x v="1"/>
    <n v="563"/>
    <n v="3"/>
    <n v="32.321300000000001"/>
    <s v="Fail"/>
    <n v="2.1612537475559099"/>
    <n v="2.16125374755591E-2"/>
    <n v="4"/>
    <x v="1"/>
    <n v="1.32527401018452"/>
    <n v="3"/>
    <x v="0"/>
    <x v="0"/>
    <n v="402.96879999999999"/>
  </r>
  <r>
    <x v="1"/>
    <x v="13"/>
    <n v="16.160399999999999"/>
    <n v="5"/>
    <n v="249"/>
    <n v="4052.7384000000002"/>
    <x v="3"/>
    <n v="80"/>
    <n v="48"/>
    <n v="8"/>
    <s v="Supplier 5"/>
    <x v="3"/>
    <n v="173"/>
    <n v="10"/>
    <n v="97.829099999999997"/>
    <s v="Pending"/>
    <n v="1.63107423007153"/>
    <n v="1.6310742300715299E-2"/>
    <n v="9"/>
    <x v="1"/>
    <n v="9.5372830611083295"/>
    <n v="23"/>
    <x v="0"/>
    <x v="0"/>
    <n v="547.24099999999999"/>
  </r>
  <r>
    <x v="1"/>
    <x v="14"/>
    <n v="99.171300000000002"/>
    <n v="26"/>
    <n v="562"/>
    <n v="8653.5709000000006"/>
    <x v="0"/>
    <n v="54"/>
    <n v="78"/>
    <n v="29"/>
    <s v="Supplier 1"/>
    <x v="1"/>
    <n v="558"/>
    <n v="14"/>
    <n v="5.7914000000000003"/>
    <s v="Pending"/>
    <n v="0.100682851565093"/>
    <n v="1.0068285156509301E-3"/>
    <n v="5"/>
    <x v="0"/>
    <n v="2.0397701894493299"/>
    <n v="25"/>
    <x v="1"/>
    <x v="0"/>
    <n v="929.23530000000005"/>
  </r>
  <r>
    <x v="1"/>
    <x v="15"/>
    <n v="36.989199999999997"/>
    <n v="94"/>
    <n v="469"/>
    <n v="5442.0868"/>
    <x v="0"/>
    <n v="9"/>
    <n v="69"/>
    <n v="8"/>
    <s v="Supplier 1"/>
    <x v="3"/>
    <n v="580"/>
    <n v="7"/>
    <n v="97.121300000000005"/>
    <s v="Pass"/>
    <n v="2.2644057611985402"/>
    <n v="2.2644057611985402E-2"/>
    <n v="7"/>
    <x v="0"/>
    <n v="2.4220397232752"/>
    <n v="14"/>
    <x v="3"/>
    <x v="0"/>
    <n v="127.8618"/>
  </r>
  <r>
    <x v="1"/>
    <x v="16"/>
    <n v="7.5472000000000001"/>
    <n v="74"/>
    <n v="280"/>
    <n v="6453.7979999999998"/>
    <x v="1"/>
    <n v="2"/>
    <n v="78"/>
    <n v="5"/>
    <s v="Supplier 1"/>
    <x v="3"/>
    <n v="399"/>
    <n v="21"/>
    <n v="77.106300000000005"/>
    <s v="Pass"/>
    <n v="1.01256308925804"/>
    <n v="1.01256308925804E-2"/>
    <n v="1"/>
    <x v="0"/>
    <n v="4.1913245857054999"/>
    <n v="3"/>
    <x v="1"/>
    <x v="2"/>
    <n v="865.5258"/>
  </r>
  <r>
    <x v="2"/>
    <x v="17"/>
    <n v="81.462500000000006"/>
    <n v="82"/>
    <n v="126"/>
    <n v="2629.3964000000001"/>
    <x v="1"/>
    <n v="45"/>
    <n v="85"/>
    <n v="17"/>
    <s v="Supplier 1"/>
    <x v="4"/>
    <n v="453"/>
    <n v="16"/>
    <n v="47.679699999999997"/>
    <s v="Fail"/>
    <n v="0.102020754918176"/>
    <n v="1.0202075491817599E-3"/>
    <n v="9"/>
    <x v="2"/>
    <n v="3.5854189582323399"/>
    <n v="7"/>
    <x v="1"/>
    <x v="1"/>
    <n v="670.93439999999998"/>
  </r>
  <r>
    <x v="0"/>
    <x v="18"/>
    <n v="36.443600000000004"/>
    <n v="23"/>
    <n v="620"/>
    <n v="9364.6735000000008"/>
    <x v="2"/>
    <n v="10"/>
    <n v="46"/>
    <n v="10"/>
    <s v="Supplier 2"/>
    <x v="1"/>
    <n v="374"/>
    <n v="17"/>
    <n v="27.108000000000001"/>
    <s v="Pending"/>
    <n v="2.2319391107292601"/>
    <n v="2.2319391107292599E-2"/>
    <n v="8"/>
    <x v="2"/>
    <n v="4.3392247141107001"/>
    <n v="18"/>
    <x v="3"/>
    <x v="2"/>
    <n v="593.48030000000006"/>
  </r>
  <r>
    <x v="1"/>
    <x v="19"/>
    <n v="51.123899999999999"/>
    <n v="100"/>
    <n v="187"/>
    <n v="2553.4956000000002"/>
    <x v="2"/>
    <n v="48"/>
    <n v="94"/>
    <n v="11"/>
    <s v="Supplier 4"/>
    <x v="4"/>
    <n v="694"/>
    <n v="16"/>
    <n v="82.3733"/>
    <s v="Fail"/>
    <n v="3.64645086541702"/>
    <n v="3.6464508654170197E-2"/>
    <n v="3"/>
    <x v="1"/>
    <n v="4.7426358828418698"/>
    <n v="20"/>
    <x v="0"/>
    <x v="1"/>
    <n v="477.30759999999998"/>
  </r>
  <r>
    <x v="1"/>
    <x v="20"/>
    <n v="96.341099999999997"/>
    <n v="22"/>
    <n v="320"/>
    <n v="8128.0276999999996"/>
    <x v="2"/>
    <n v="27"/>
    <n v="68"/>
    <n v="12"/>
    <s v="Supplier 1"/>
    <x v="4"/>
    <n v="309"/>
    <n v="6"/>
    <n v="65.686300000000003"/>
    <s v="Pass"/>
    <n v="4.2314165735345304"/>
    <n v="4.2314165735345306E-2"/>
    <n v="6"/>
    <x v="1"/>
    <n v="8.8783346509268402"/>
    <n v="29"/>
    <x v="1"/>
    <x v="0"/>
    <n v="493.87119999999999"/>
  </r>
  <r>
    <x v="2"/>
    <x v="21"/>
    <n v="84.893900000000002"/>
    <n v="60"/>
    <n v="601"/>
    <n v="7087.0527000000002"/>
    <x v="2"/>
    <n v="69"/>
    <n v="7"/>
    <n v="25"/>
    <s v="Supplier 5"/>
    <x v="4"/>
    <n v="791"/>
    <n v="4"/>
    <n v="61.735700000000001"/>
    <s v="Pending"/>
    <n v="1.8607567631014899E-2"/>
    <n v="1.8607567631014898E-4"/>
    <n v="6"/>
    <x v="0"/>
    <n v="6.0378837692182898"/>
    <n v="19"/>
    <x v="1"/>
    <x v="1"/>
    <n v="523.36090000000002"/>
  </r>
  <r>
    <x v="0"/>
    <x v="22"/>
    <n v="27.6798"/>
    <n v="55"/>
    <n v="884"/>
    <n v="2390.8078999999998"/>
    <x v="2"/>
    <n v="71"/>
    <n v="63"/>
    <n v="1"/>
    <s v="Supplier 4"/>
    <x v="1"/>
    <n v="780"/>
    <n v="28"/>
    <n v="50.120800000000003"/>
    <s v="Fail"/>
    <n v="2.5912754732111098"/>
    <n v="2.5912754732111097E-2"/>
    <n v="10"/>
    <x v="1"/>
    <n v="9.5676489209230393"/>
    <n v="22"/>
    <x v="2"/>
    <x v="1"/>
    <n v="205.572"/>
  </r>
  <r>
    <x v="2"/>
    <x v="23"/>
    <n v="4.3243"/>
    <n v="30"/>
    <n v="391"/>
    <n v="8858.3675999999996"/>
    <x v="2"/>
    <n v="84"/>
    <n v="29"/>
    <n v="5"/>
    <s v="Supplier 5"/>
    <x v="1"/>
    <n v="568"/>
    <n v="29"/>
    <n v="98.61"/>
    <s v="Pending"/>
    <n v="1.3422915627227301"/>
    <n v="1.34229156272273E-2"/>
    <n v="7"/>
    <x v="1"/>
    <n v="2.92485760114555"/>
    <n v="11"/>
    <x v="2"/>
    <x v="2"/>
    <n v="196.32939999999999"/>
  </r>
  <r>
    <x v="0"/>
    <x v="24"/>
    <n v="4.1562999999999999"/>
    <n v="32"/>
    <n v="209"/>
    <n v="9049.0779000000002"/>
    <x v="3"/>
    <n v="4"/>
    <n v="2"/>
    <n v="26"/>
    <s v="Supplier 2"/>
    <x v="3"/>
    <n v="447"/>
    <n v="3"/>
    <n v="40.382399999999997"/>
    <s v="Pending"/>
    <n v="3.69131029262872"/>
    <n v="3.6913102926287203E-2"/>
    <n v="8"/>
    <x v="2"/>
    <n v="9.7412916892843597"/>
    <n v="28"/>
    <x v="1"/>
    <x v="2"/>
    <n v="758.72479999999996"/>
  </r>
  <r>
    <x v="0"/>
    <x v="25"/>
    <n v="39.629300000000001"/>
    <n v="73"/>
    <n v="142"/>
    <n v="2174.7770999999998"/>
    <x v="3"/>
    <n v="82"/>
    <n v="52"/>
    <n v="11"/>
    <s v="Supplier 4"/>
    <x v="1"/>
    <n v="934"/>
    <n v="23"/>
    <n v="78.2804"/>
    <s v="Pending"/>
    <n v="3.79723121711418"/>
    <n v="3.7972312171141803E-2"/>
    <n v="3"/>
    <x v="2"/>
    <n v="2.2310736812817198"/>
    <n v="19"/>
    <x v="0"/>
    <x v="0"/>
    <n v="458.53590000000003"/>
  </r>
  <r>
    <x v="0"/>
    <x v="26"/>
    <n v="97.446899999999999"/>
    <n v="9"/>
    <n v="353"/>
    <n v="3716.4933000000001"/>
    <x v="3"/>
    <n v="59"/>
    <n v="48"/>
    <n v="16"/>
    <s v="Supplier 2"/>
    <x v="3"/>
    <n v="171"/>
    <n v="4"/>
    <n v="15.972200000000001"/>
    <s v="Pass"/>
    <n v="2.1193197367249201"/>
    <n v="2.11931973672492E-2"/>
    <n v="4"/>
    <x v="0"/>
    <n v="6.5075486210785503"/>
    <n v="26"/>
    <x v="2"/>
    <x v="2"/>
    <n v="617.86689999999999"/>
  </r>
  <r>
    <x v="2"/>
    <x v="27"/>
    <n v="92.557400000000001"/>
    <n v="42"/>
    <n v="352"/>
    <n v="2686.4571999999998"/>
    <x v="2"/>
    <n v="47"/>
    <n v="62"/>
    <n v="9"/>
    <s v="Supplier 5"/>
    <x v="0"/>
    <n v="291"/>
    <n v="4"/>
    <n v="10.5282"/>
    <s v="Fail"/>
    <n v="2.8646678378833701"/>
    <n v="2.8646678378833702E-2"/>
    <n v="8"/>
    <x v="2"/>
    <n v="7.4067509529980704"/>
    <n v="25"/>
    <x v="3"/>
    <x v="0"/>
    <n v="762.45920000000001"/>
  </r>
  <r>
    <x v="2"/>
    <x v="28"/>
    <n v="2.3973"/>
    <n v="12"/>
    <n v="394"/>
    <n v="6117.3245999999999"/>
    <x v="1"/>
    <n v="48"/>
    <n v="24"/>
    <n v="15"/>
    <s v="Supplier 1"/>
    <x v="0"/>
    <n v="171"/>
    <n v="7"/>
    <n v="59.429400000000001"/>
    <s v="Fail"/>
    <n v="0.81575707929567198"/>
    <n v="8.1575707929567205E-3"/>
    <n v="4"/>
    <x v="0"/>
    <n v="9.8981405080692202"/>
    <n v="13"/>
    <x v="1"/>
    <x v="2"/>
    <n v="123.437"/>
  </r>
  <r>
    <x v="2"/>
    <x v="29"/>
    <n v="63.447600000000001"/>
    <n v="3"/>
    <n v="253"/>
    <n v="8318.9032000000007"/>
    <x v="1"/>
    <n v="45"/>
    <n v="67"/>
    <n v="5"/>
    <s v="Supplier 1"/>
    <x v="1"/>
    <n v="329"/>
    <n v="7"/>
    <n v="39.292900000000003"/>
    <s v="Pass"/>
    <n v="3.8780989365884802"/>
    <n v="3.8780989365884803E-2"/>
    <n v="7"/>
    <x v="0"/>
    <n v="8.1009731453970293"/>
    <n v="16"/>
    <x v="0"/>
    <x v="0"/>
    <n v="764.93539999999996"/>
  </r>
  <r>
    <x v="0"/>
    <x v="30"/>
    <n v="8.0228999999999999"/>
    <n v="10"/>
    <n v="327"/>
    <n v="2766.3424"/>
    <x v="3"/>
    <n v="60"/>
    <n v="35"/>
    <n v="26"/>
    <s v="Supplier 4"/>
    <x v="1"/>
    <n v="806"/>
    <n v="30"/>
    <n v="51.634900000000002"/>
    <s v="Pending"/>
    <n v="0.96539470535239302"/>
    <n v="9.6539470535239296E-3"/>
    <n v="7"/>
    <x v="0"/>
    <n v="8.9545283153180097"/>
    <n v="27"/>
    <x v="0"/>
    <x v="1"/>
    <n v="880.08100000000002"/>
  </r>
  <r>
    <x v="1"/>
    <x v="31"/>
    <n v="50.8474"/>
    <n v="28"/>
    <n v="168"/>
    <n v="9655.1350999999995"/>
    <x v="3"/>
    <n v="6"/>
    <n v="44"/>
    <n v="17"/>
    <s v="Supplier 3"/>
    <x v="4"/>
    <n v="461"/>
    <n v="8"/>
    <n v="60.251100000000001"/>
    <s v="Pending"/>
    <n v="2.9890000066550702"/>
    <n v="2.9890000066550702E-2"/>
    <n v="4"/>
    <x v="0"/>
    <n v="2.6796609649813998"/>
    <n v="24"/>
    <x v="2"/>
    <x v="1"/>
    <n v="609.37919999999997"/>
  </r>
  <r>
    <x v="1"/>
    <x v="32"/>
    <n v="79.209900000000005"/>
    <n v="43"/>
    <n v="781"/>
    <n v="9571.5504999999994"/>
    <x v="2"/>
    <n v="89"/>
    <n v="64"/>
    <n v="13"/>
    <s v="Supplier 3"/>
    <x v="1"/>
    <n v="737"/>
    <n v="7"/>
    <n v="29.692499999999999"/>
    <s v="Pass"/>
    <n v="1.94603611938611"/>
    <n v="1.94603611938611E-2"/>
    <n v="4"/>
    <x v="2"/>
    <n v="6.5991049012385803"/>
    <n v="30"/>
    <x v="0"/>
    <x v="2"/>
    <n v="761.1739"/>
  </r>
  <r>
    <x v="2"/>
    <x v="33"/>
    <n v="64.795400000000001"/>
    <n v="63"/>
    <n v="616"/>
    <n v="5149.9984000000004"/>
    <x v="0"/>
    <n v="4"/>
    <n v="95"/>
    <n v="17"/>
    <s v="Supplier 5"/>
    <x v="4"/>
    <n v="251"/>
    <n v="23"/>
    <n v="23.853400000000001"/>
    <s v="Fail"/>
    <n v="3.54104601225092"/>
    <n v="3.5410460122509202E-2"/>
    <n v="9"/>
    <x v="2"/>
    <n v="4.85827050343664"/>
    <n v="1"/>
    <x v="3"/>
    <x v="2"/>
    <n v="371.25529999999998"/>
  </r>
  <r>
    <x v="1"/>
    <x v="34"/>
    <n v="37.467599999999997"/>
    <n v="96"/>
    <n v="602"/>
    <n v="9061.7109"/>
    <x v="2"/>
    <n v="1"/>
    <n v="21"/>
    <n v="26"/>
    <s v="Supplier 1"/>
    <x v="4"/>
    <n v="452"/>
    <n v="10"/>
    <n v="10.754300000000001"/>
    <s v="Pass"/>
    <n v="0.64660455937205397"/>
    <n v="6.4660455937205399E-3"/>
    <n v="7"/>
    <x v="1"/>
    <n v="1.0194875708221101"/>
    <n v="4"/>
    <x v="0"/>
    <x v="0"/>
    <n v="510.358"/>
  </r>
  <r>
    <x v="2"/>
    <x v="35"/>
    <n v="84.957800000000006"/>
    <n v="11"/>
    <n v="449"/>
    <n v="6541.3293000000003"/>
    <x v="1"/>
    <n v="42"/>
    <n v="85"/>
    <n v="27"/>
    <s v="Supplier 1"/>
    <x v="2"/>
    <n v="367"/>
    <n v="2"/>
    <n v="58.004800000000003"/>
    <s v="Pass"/>
    <n v="0.54115409806058101"/>
    <n v="5.4115409806058104E-3"/>
    <n v="8"/>
    <x v="2"/>
    <n v="5.2881899903273997"/>
    <n v="3"/>
    <x v="3"/>
    <x v="1"/>
    <n v="553.42049999999995"/>
  </r>
  <r>
    <x v="1"/>
    <x v="36"/>
    <n v="9.8130000000000006"/>
    <n v="34"/>
    <n v="963"/>
    <n v="7573.4025000000001"/>
    <x v="1"/>
    <n v="18"/>
    <n v="28"/>
    <n v="23"/>
    <s v="Supplier 2"/>
    <x v="2"/>
    <n v="671"/>
    <n v="19"/>
    <n v="45.531399999999998"/>
    <s v="Fail"/>
    <n v="3.8055333792433501"/>
    <n v="3.8055333792433504E-2"/>
    <n v="3"/>
    <x v="0"/>
    <n v="2.1079512671590801"/>
    <n v="26"/>
    <x v="1"/>
    <x v="1"/>
    <n v="403.80900000000003"/>
  </r>
  <r>
    <x v="1"/>
    <x v="37"/>
    <n v="23.399799999999999"/>
    <n v="5"/>
    <n v="963"/>
    <n v="2438.3398999999999"/>
    <x v="1"/>
    <n v="25"/>
    <n v="21"/>
    <n v="8"/>
    <s v="Supplier 3"/>
    <x v="1"/>
    <n v="867"/>
    <n v="15"/>
    <n v="34.343299999999999"/>
    <s v="Pending"/>
    <n v="2.61028808484811"/>
    <n v="2.61028808484811E-2"/>
    <n v="9"/>
    <x v="1"/>
    <n v="1.53265527359043"/>
    <n v="24"/>
    <x v="3"/>
    <x v="2"/>
    <n v="183.93299999999999"/>
  </r>
  <r>
    <x v="2"/>
    <x v="38"/>
    <n v="52.075899999999997"/>
    <n v="75"/>
    <n v="705"/>
    <n v="9692.3179999999993"/>
    <x v="0"/>
    <n v="69"/>
    <n v="88"/>
    <n v="1"/>
    <s v="Supplier 5"/>
    <x v="0"/>
    <n v="841"/>
    <n v="12"/>
    <n v="5.9306999999999999"/>
    <s v="Pending"/>
    <n v="0.613326899164507"/>
    <n v="6.1332689916450698E-3"/>
    <n v="5"/>
    <x v="0"/>
    <n v="9.2359314372492207"/>
    <n v="10"/>
    <x v="1"/>
    <x v="0"/>
    <n v="339.67290000000003"/>
  </r>
  <r>
    <x v="1"/>
    <x v="39"/>
    <n v="19.127500000000001"/>
    <n v="26"/>
    <n v="176"/>
    <n v="1912.4657"/>
    <x v="1"/>
    <n v="78"/>
    <n v="34"/>
    <n v="29"/>
    <s v="Supplier 2"/>
    <x v="1"/>
    <n v="791"/>
    <n v="6"/>
    <n v="9.0058000000000007"/>
    <s v="Fail"/>
    <n v="1.4519722039968099"/>
    <n v="1.4519722039968099E-2"/>
    <n v="3"/>
    <x v="1"/>
    <n v="5.5625037788303802"/>
    <n v="30"/>
    <x v="1"/>
    <x v="0"/>
    <n v="653.673"/>
  </r>
  <r>
    <x v="1"/>
    <x v="40"/>
    <n v="80.541399999999996"/>
    <n v="97"/>
    <n v="933"/>
    <n v="5724.9593999999997"/>
    <x v="1"/>
    <n v="90"/>
    <n v="39"/>
    <n v="20"/>
    <s v="Supplier 1"/>
    <x v="1"/>
    <n v="793"/>
    <n v="1"/>
    <n v="88.179400000000001"/>
    <s v="Pending"/>
    <n v="4.2132694305865597"/>
    <n v="4.2132694305865595E-2"/>
    <n v="8"/>
    <x v="2"/>
    <n v="7.2295951397364702"/>
    <n v="18"/>
    <x v="0"/>
    <x v="2"/>
    <n v="529.80870000000004"/>
  </r>
  <r>
    <x v="1"/>
    <x v="41"/>
    <n v="99.113299999999995"/>
    <n v="35"/>
    <n v="556"/>
    <n v="5521.2052999999996"/>
    <x v="1"/>
    <n v="64"/>
    <n v="38"/>
    <n v="19"/>
    <s v="Supplier 4"/>
    <x v="4"/>
    <n v="892"/>
    <n v="7"/>
    <n v="95.332099999999997"/>
    <s v="Fail"/>
    <n v="4.5302262398259602E-2"/>
    <n v="4.5302262398259604E-4"/>
    <n v="8"/>
    <x v="0"/>
    <n v="5.7732637437666501"/>
    <n v="18"/>
    <x v="3"/>
    <x v="2"/>
    <n v="275.52440000000001"/>
  </r>
  <r>
    <x v="1"/>
    <x v="42"/>
    <n v="46.529200000000003"/>
    <n v="98"/>
    <n v="155"/>
    <n v="1839.6094000000001"/>
    <x v="1"/>
    <n v="22"/>
    <n v="57"/>
    <n v="27"/>
    <s v="Supplier 5"/>
    <x v="3"/>
    <n v="179"/>
    <n v="7"/>
    <n v="96.422799999999995"/>
    <s v="Fail"/>
    <n v="4.9392552886209398"/>
    <n v="4.9392552886209397E-2"/>
    <n v="4"/>
    <x v="2"/>
    <n v="7.5262483268515004"/>
    <n v="26"/>
    <x v="0"/>
    <x v="2"/>
    <n v="635.65710000000001"/>
  </r>
  <r>
    <x v="0"/>
    <x v="43"/>
    <n v="11.7433"/>
    <n v="6"/>
    <n v="598"/>
    <n v="5737.4255999999996"/>
    <x v="2"/>
    <n v="36"/>
    <n v="85"/>
    <n v="29"/>
    <s v="Supplier 5"/>
    <x v="0"/>
    <n v="206"/>
    <n v="23"/>
    <n v="26.2774"/>
    <s v="Pending"/>
    <n v="0.37230476798509698"/>
    <n v="3.72304767985097E-3"/>
    <n v="9"/>
    <x v="0"/>
    <n v="3.6940212683884499"/>
    <n v="1"/>
    <x v="1"/>
    <x v="2"/>
    <n v="716.04409999999996"/>
  </r>
  <r>
    <x v="2"/>
    <x v="44"/>
    <n v="51.355800000000002"/>
    <n v="34"/>
    <n v="919"/>
    <n v="7152.2860000000001"/>
    <x v="1"/>
    <n v="13"/>
    <n v="72"/>
    <n v="19"/>
    <s v="Supplier 2"/>
    <x v="2"/>
    <n v="834"/>
    <n v="18"/>
    <n v="22.554099999999998"/>
    <s v="Fail"/>
    <n v="2.9626263204548802"/>
    <n v="2.9626263204548801E-2"/>
    <n v="6"/>
    <x v="2"/>
    <n v="7.5774496573766896"/>
    <n v="7"/>
    <x v="2"/>
    <x v="2"/>
    <n v="610.45330000000001"/>
  </r>
  <r>
    <x v="0"/>
    <x v="45"/>
    <n v="33.784100000000002"/>
    <n v="1"/>
    <n v="24"/>
    <n v="5267.9567999999999"/>
    <x v="3"/>
    <n v="93"/>
    <n v="52"/>
    <n v="7"/>
    <s v="Supplier 2"/>
    <x v="4"/>
    <n v="794"/>
    <n v="25"/>
    <n v="66.3125"/>
    <s v="Pass"/>
    <n v="3.2196046120841002"/>
    <n v="3.2196046120841003E-2"/>
    <n v="6"/>
    <x v="0"/>
    <n v="5.2151550087119096"/>
    <n v="25"/>
    <x v="2"/>
    <x v="2"/>
    <n v="495.3057"/>
  </r>
  <r>
    <x v="0"/>
    <x v="46"/>
    <n v="27.0822"/>
    <n v="75"/>
    <n v="859"/>
    <n v="2556.7674000000002"/>
    <x v="0"/>
    <n v="92"/>
    <n v="6"/>
    <n v="29"/>
    <s v="Supplier 3"/>
    <x v="4"/>
    <n v="870"/>
    <n v="23"/>
    <n v="77.322400000000002"/>
    <s v="Pending"/>
    <n v="3.6486105925361998"/>
    <n v="3.6486105925362E-2"/>
    <n v="8"/>
    <x v="0"/>
    <n v="4.0709558370840799"/>
    <n v="18"/>
    <x v="0"/>
    <x v="0"/>
    <n v="380.4359"/>
  </r>
  <r>
    <x v="1"/>
    <x v="47"/>
    <n v="95.712100000000007"/>
    <n v="93"/>
    <n v="910"/>
    <n v="7089.4741999999997"/>
    <x v="3"/>
    <n v="4"/>
    <n v="51"/>
    <n v="15"/>
    <s v="Supplier 1"/>
    <x v="1"/>
    <n v="964"/>
    <n v="20"/>
    <n v="19.713000000000001"/>
    <s v="Pending"/>
    <n v="0.38057358671321301"/>
    <n v="3.8057358671321302E-3"/>
    <n v="9"/>
    <x v="0"/>
    <n v="8.9787507559499709"/>
    <n v="10"/>
    <x v="2"/>
    <x v="2"/>
    <n v="581.60239999999999"/>
  </r>
  <r>
    <x v="0"/>
    <x v="48"/>
    <n v="76.035499999999999"/>
    <n v="28"/>
    <n v="29"/>
    <n v="7397.0709999999999"/>
    <x v="0"/>
    <n v="30"/>
    <n v="9"/>
    <n v="16"/>
    <s v="Supplier 2"/>
    <x v="0"/>
    <n v="109"/>
    <n v="18"/>
    <n v="23.1264"/>
    <s v="Fail"/>
    <n v="1.6981125407144"/>
    <n v="1.6981125407143999E-2"/>
    <n v="3"/>
    <x v="2"/>
    <n v="7.0958331565551296"/>
    <n v="9"/>
    <x v="2"/>
    <x v="0"/>
    <n v="768.65189999999996"/>
  </r>
  <r>
    <x v="2"/>
    <x v="49"/>
    <n v="78.897900000000007"/>
    <n v="19"/>
    <n v="99"/>
    <n v="8001.6131999999998"/>
    <x v="2"/>
    <n v="97"/>
    <n v="9"/>
    <n v="24"/>
    <s v="Supplier 5"/>
    <x v="2"/>
    <n v="177"/>
    <n v="28"/>
    <n v="14.1478"/>
    <s v="Pass"/>
    <n v="2.8258139854001301"/>
    <n v="2.8258139854001302E-2"/>
    <n v="6"/>
    <x v="2"/>
    <n v="2.5056210329009101"/>
    <n v="28"/>
    <x v="2"/>
    <x v="2"/>
    <n v="336.89019999999999"/>
  </r>
  <r>
    <x v="2"/>
    <x v="50"/>
    <n v="14.2035"/>
    <n v="91"/>
    <n v="633"/>
    <n v="5910.8854000000001"/>
    <x v="1"/>
    <n v="31"/>
    <n v="82"/>
    <n v="23"/>
    <s v="Supplier 2"/>
    <x v="2"/>
    <n v="306"/>
    <n v="21"/>
    <n v="45.178800000000003"/>
    <s v="Fail"/>
    <n v="4.7548008046711798"/>
    <n v="4.7548008046711797E-2"/>
    <n v="10"/>
    <x v="1"/>
    <n v="6.2478609149759903"/>
    <n v="20"/>
    <x v="2"/>
    <x v="0"/>
    <n v="496.24869999999999"/>
  </r>
  <r>
    <x v="0"/>
    <x v="51"/>
    <n v="26.700800000000001"/>
    <n v="61"/>
    <n v="154"/>
    <n v="9866.4655000000002"/>
    <x v="3"/>
    <n v="100"/>
    <n v="52"/>
    <n v="4"/>
    <s v="Supplier 5"/>
    <x v="3"/>
    <n v="673"/>
    <n v="28"/>
    <n v="14.190300000000001"/>
    <s v="Pending"/>
    <n v="1.77295117208355"/>
    <n v="1.7729511720835499E-2"/>
    <n v="1"/>
    <x v="1"/>
    <n v="4.78300055794766"/>
    <n v="18"/>
    <x v="0"/>
    <x v="2"/>
    <n v="694.98230000000001"/>
  </r>
  <r>
    <x v="1"/>
    <x v="52"/>
    <n v="98.031800000000004"/>
    <n v="1"/>
    <n v="820"/>
    <n v="9435.7626"/>
    <x v="3"/>
    <n v="64"/>
    <n v="11"/>
    <n v="11"/>
    <s v="Supplier 1"/>
    <x v="0"/>
    <n v="727"/>
    <n v="27"/>
    <n v="9.1668000000000003"/>
    <s v="Pending"/>
    <n v="2.1224716191438202"/>
    <n v="2.1224716191438203E-2"/>
    <n v="1"/>
    <x v="0"/>
    <n v="8.6310521797689397"/>
    <n v="10"/>
    <x v="1"/>
    <x v="1"/>
    <n v="602.89850000000001"/>
  </r>
  <r>
    <x v="1"/>
    <x v="53"/>
    <n v="30.3415"/>
    <n v="93"/>
    <n v="242"/>
    <n v="8232.3348000000005"/>
    <x v="3"/>
    <n v="96"/>
    <n v="54"/>
    <n v="25"/>
    <s v="Supplier 1"/>
    <x v="2"/>
    <n v="631"/>
    <n v="17"/>
    <n v="83.344099999999997"/>
    <s v="Pending"/>
    <n v="1.41034757607602"/>
    <n v="1.41034757607602E-2"/>
    <n v="3"/>
    <x v="0"/>
    <n v="1.0134865660958901"/>
    <n v="1"/>
    <x v="1"/>
    <x v="0"/>
    <n v="750.73779999999999"/>
  </r>
  <r>
    <x v="0"/>
    <x v="54"/>
    <n v="31.1462"/>
    <n v="11"/>
    <n v="622"/>
    <n v="6088.0214999999998"/>
    <x v="0"/>
    <n v="33"/>
    <n v="61"/>
    <n v="22"/>
    <s v="Supplier 1"/>
    <x v="1"/>
    <n v="497"/>
    <n v="29"/>
    <n v="30.186"/>
    <s v="Pass"/>
    <n v="2.4787719755397402"/>
    <n v="2.4787719755397401E-2"/>
    <n v="3"/>
    <x v="0"/>
    <n v="4.3051034712876302"/>
    <n v="26"/>
    <x v="0"/>
    <x v="0"/>
    <n v="814.07"/>
  </r>
  <r>
    <x v="0"/>
    <x v="55"/>
    <n v="79.855099999999993"/>
    <n v="16"/>
    <n v="701"/>
    <n v="2925.6752000000001"/>
    <x v="3"/>
    <n v="97"/>
    <n v="11"/>
    <n v="11"/>
    <s v="Supplier 2"/>
    <x v="2"/>
    <n v="918"/>
    <n v="5"/>
    <n v="30.323499999999999"/>
    <s v="Fail"/>
    <n v="4.5489196593963799"/>
    <n v="4.5489196593963797E-2"/>
    <n v="5"/>
    <x v="1"/>
    <n v="5.0143649550309002"/>
    <n v="27"/>
    <x v="3"/>
    <x v="0"/>
    <n v="323.0129"/>
  </r>
  <r>
    <x v="1"/>
    <x v="56"/>
    <n v="20.9864"/>
    <n v="90"/>
    <n v="93"/>
    <n v="4767.0204999999996"/>
    <x v="0"/>
    <n v="25"/>
    <n v="83"/>
    <n v="23"/>
    <s v="Supplier 1"/>
    <x v="0"/>
    <n v="826"/>
    <n v="28"/>
    <n v="12.8363"/>
    <s v="Pass"/>
    <n v="1.1737554953874501"/>
    <n v="1.1737554953874501E-2"/>
    <n v="5"/>
    <x v="2"/>
    <n v="1.77442971407173"/>
    <n v="24"/>
    <x v="1"/>
    <x v="0"/>
    <n v="832.21079999999995"/>
  </r>
  <r>
    <x v="0"/>
    <x v="57"/>
    <n v="49.263199999999998"/>
    <n v="65"/>
    <n v="227"/>
    <n v="1605.8669"/>
    <x v="2"/>
    <n v="5"/>
    <n v="51"/>
    <n v="18"/>
    <s v="Supplier 2"/>
    <x v="2"/>
    <n v="588"/>
    <n v="25"/>
    <n v="67.779600000000002"/>
    <s v="Pending"/>
    <n v="2.5111748302126999"/>
    <n v="2.5111748302127E-2"/>
    <n v="1"/>
    <x v="0"/>
    <n v="9.1605585353818704"/>
    <n v="21"/>
    <x v="2"/>
    <x v="2"/>
    <n v="482.19119999999998"/>
  </r>
  <r>
    <x v="1"/>
    <x v="58"/>
    <n v="59.8416"/>
    <n v="81"/>
    <n v="896"/>
    <n v="2021.1497999999999"/>
    <x v="0"/>
    <n v="10"/>
    <n v="44"/>
    <n v="5"/>
    <s v="Supplier 3"/>
    <x v="2"/>
    <n v="396"/>
    <n v="7"/>
    <n v="65.047399999999996"/>
    <s v="Fail"/>
    <n v="1.7303747198591899"/>
    <n v="1.7303747198591898E-2"/>
    <n v="7"/>
    <x v="1"/>
    <n v="4.9384385647120901"/>
    <n v="18"/>
    <x v="0"/>
    <x v="0"/>
    <n v="110.3643"/>
  </r>
  <r>
    <x v="2"/>
    <x v="59"/>
    <n v="63.828400000000002"/>
    <n v="30"/>
    <n v="484"/>
    <n v="1061.6185"/>
    <x v="0"/>
    <n v="100"/>
    <n v="26"/>
    <n v="16"/>
    <s v="Supplier 1"/>
    <x v="1"/>
    <n v="176"/>
    <n v="4"/>
    <n v="1.9008"/>
    <s v="Fail"/>
    <n v="0.44719401546382298"/>
    <n v="4.4719401546382299E-3"/>
    <n v="7"/>
    <x v="0"/>
    <n v="7.2937225968677204"/>
    <n v="11"/>
    <x v="1"/>
    <x v="2"/>
    <n v="312.57429999999999"/>
  </r>
  <r>
    <x v="1"/>
    <x v="60"/>
    <n v="17.027999999999999"/>
    <n v="16"/>
    <n v="380"/>
    <n v="8864.0843000000004"/>
    <x v="1"/>
    <n v="41"/>
    <n v="72"/>
    <n v="27"/>
    <s v="Supplier 4"/>
    <x v="0"/>
    <n v="929"/>
    <n v="24"/>
    <n v="87.213099999999997"/>
    <s v="Fail"/>
    <n v="2.8530906166490499"/>
    <n v="2.85309061664905E-2"/>
    <n v="8"/>
    <x v="2"/>
    <n v="4.3813681581023101"/>
    <n v="29"/>
    <x v="2"/>
    <x v="2"/>
    <n v="430.16910000000001"/>
  </r>
  <r>
    <x v="0"/>
    <x v="61"/>
    <n v="52.028700000000001"/>
    <n v="23"/>
    <n v="117"/>
    <n v="6885.5893999999998"/>
    <x v="2"/>
    <n v="32"/>
    <n v="36"/>
    <n v="23"/>
    <s v="Supplier 4"/>
    <x v="1"/>
    <n v="480"/>
    <n v="12"/>
    <n v="78.702399999999997"/>
    <s v="Fail"/>
    <n v="4.3674705382050503"/>
    <n v="4.3674705382050504E-2"/>
    <n v="7"/>
    <x v="2"/>
    <n v="9.0303404225219399"/>
    <n v="14"/>
    <x v="1"/>
    <x v="2"/>
    <n v="164.3665"/>
  </r>
  <r>
    <x v="2"/>
    <x v="62"/>
    <n v="72.796400000000006"/>
    <n v="89"/>
    <n v="270"/>
    <n v="3899.7467999999999"/>
    <x v="2"/>
    <n v="86"/>
    <n v="40"/>
    <n v="2"/>
    <s v="Supplier 2"/>
    <x v="0"/>
    <n v="751"/>
    <n v="14"/>
    <n v="21.0486"/>
    <s v="Pass"/>
    <n v="1.87400140404437"/>
    <n v="1.87400140404437E-2"/>
    <n v="7"/>
    <x v="2"/>
    <n v="7.2917013887767697"/>
    <n v="13"/>
    <x v="3"/>
    <x v="1"/>
    <n v="320.84649999999999"/>
  </r>
  <r>
    <x v="1"/>
    <x v="63"/>
    <n v="13.0174"/>
    <n v="55"/>
    <n v="246"/>
    <n v="4256.9490999999998"/>
    <x v="0"/>
    <n v="54"/>
    <n v="10"/>
    <n v="19"/>
    <s v="Supplier 3"/>
    <x v="3"/>
    <n v="736"/>
    <n v="10"/>
    <n v="20.074999999999999"/>
    <s v="Pending"/>
    <n v="3.6328432903821302"/>
    <n v="3.6328432903821303E-2"/>
    <n v="4"/>
    <x v="1"/>
    <n v="2.45793352798733"/>
    <n v="18"/>
    <x v="3"/>
    <x v="2"/>
    <n v="687.28620000000001"/>
  </r>
  <r>
    <x v="1"/>
    <x v="64"/>
    <n v="89.634100000000004"/>
    <n v="11"/>
    <n v="134"/>
    <n v="8458.7309000000005"/>
    <x v="1"/>
    <n v="73"/>
    <n v="75"/>
    <n v="27"/>
    <s v="Supplier 1"/>
    <x v="2"/>
    <n v="328"/>
    <n v="6"/>
    <n v="8.6929999999999996"/>
    <s v="Fail"/>
    <n v="0.15948631471751401"/>
    <n v="1.5948631471751401E-3"/>
    <n v="6"/>
    <x v="2"/>
    <n v="4.5853534681946497"/>
    <n v="17"/>
    <x v="1"/>
    <x v="1"/>
    <n v="771.2251"/>
  </r>
  <r>
    <x v="1"/>
    <x v="65"/>
    <n v="33.697699999999998"/>
    <n v="72"/>
    <n v="457"/>
    <n v="8354.5797000000002"/>
    <x v="3"/>
    <n v="57"/>
    <n v="54"/>
    <n v="24"/>
    <s v="Supplier 5"/>
    <x v="1"/>
    <n v="358"/>
    <n v="21"/>
    <n v="1.5972"/>
    <s v="Fail"/>
    <n v="4.9110959548423301"/>
    <n v="4.9110959548423302E-2"/>
    <n v="8"/>
    <x v="2"/>
    <n v="6.5805413478845898"/>
    <n v="16"/>
    <x v="2"/>
    <x v="1"/>
    <n v="555.85910000000001"/>
  </r>
  <r>
    <x v="1"/>
    <x v="66"/>
    <n v="26.0349"/>
    <n v="52"/>
    <n v="704"/>
    <n v="8367.7216000000008"/>
    <x v="1"/>
    <n v="13"/>
    <n v="19"/>
    <n v="17"/>
    <s v="Supplier 5"/>
    <x v="1"/>
    <n v="867"/>
    <n v="28"/>
    <n v="42.084400000000002"/>
    <s v="Fail"/>
    <n v="3.44806328834026"/>
    <n v="3.4480632883402598E-2"/>
    <n v="8"/>
    <x v="1"/>
    <n v="2.2161427287713602"/>
    <n v="24"/>
    <x v="0"/>
    <x v="2"/>
    <n v="393.8433"/>
  </r>
  <r>
    <x v="1"/>
    <x v="67"/>
    <n v="87.755399999999995"/>
    <n v="16"/>
    <n v="513"/>
    <n v="9473.7980000000007"/>
    <x v="2"/>
    <n v="12"/>
    <n v="71"/>
    <n v="9"/>
    <s v="Supplier 1"/>
    <x v="0"/>
    <n v="198"/>
    <n v="11"/>
    <n v="7.0579000000000001"/>
    <s v="Pass"/>
    <n v="0.131955444311814"/>
    <n v="1.31955444311814E-3"/>
    <n v="9"/>
    <x v="2"/>
    <n v="9.1478115447106294"/>
    <n v="10"/>
    <x v="3"/>
    <x v="1"/>
    <n v="169.27180000000001"/>
  </r>
  <r>
    <x v="0"/>
    <x v="68"/>
    <n v="37.931800000000003"/>
    <n v="29"/>
    <n v="163"/>
    <n v="3550.2184000000002"/>
    <x v="0"/>
    <n v="0"/>
    <n v="58"/>
    <n v="8"/>
    <s v="Supplier 2"/>
    <x v="3"/>
    <n v="375"/>
    <n v="18"/>
    <n v="97.113600000000005"/>
    <s v="Fail"/>
    <n v="1.9834678721741801"/>
    <n v="1.98346787217418E-2"/>
    <n v="8"/>
    <x v="0"/>
    <n v="1.19425186488499"/>
    <n v="2"/>
    <x v="2"/>
    <x v="2"/>
    <n v="299.7063"/>
  </r>
  <r>
    <x v="1"/>
    <x v="69"/>
    <n v="54.865499999999997"/>
    <n v="62"/>
    <n v="511"/>
    <n v="1752.3811000000001"/>
    <x v="0"/>
    <n v="95"/>
    <n v="27"/>
    <n v="1"/>
    <s v="Supplier 4"/>
    <x v="1"/>
    <n v="862"/>
    <n v="7"/>
    <n v="77.627799999999993"/>
    <s v="Pending"/>
    <n v="1.3623879886490999"/>
    <n v="1.3623879886490999E-2"/>
    <n v="3"/>
    <x v="0"/>
    <n v="9.7052867901203399"/>
    <n v="9"/>
    <x v="1"/>
    <x v="2"/>
    <n v="207.66319999999999"/>
  </r>
  <r>
    <x v="0"/>
    <x v="70"/>
    <n v="47.914499999999997"/>
    <n v="90"/>
    <n v="32"/>
    <n v="7014.8879999999999"/>
    <x v="1"/>
    <n v="10"/>
    <n v="22"/>
    <n v="12"/>
    <s v="Supplier 1"/>
    <x v="3"/>
    <n v="775"/>
    <n v="16"/>
    <n v="11.440799999999999"/>
    <s v="Pass"/>
    <n v="1.8305755986122301"/>
    <n v="1.8305755986122302E-2"/>
    <n v="4"/>
    <x v="0"/>
    <n v="6.3157177546007199"/>
    <n v="22"/>
    <x v="0"/>
    <x v="1"/>
    <n v="183.27289999999999"/>
  </r>
  <r>
    <x v="2"/>
    <x v="71"/>
    <n v="6.3815"/>
    <n v="14"/>
    <n v="637"/>
    <n v="8180.3370999999997"/>
    <x v="1"/>
    <n v="76"/>
    <n v="26"/>
    <n v="2"/>
    <s v="Supplier 2"/>
    <x v="3"/>
    <n v="258"/>
    <n v="10"/>
    <n v="30.6617"/>
    <s v="Pending"/>
    <n v="2.07875060787496"/>
    <n v="2.0787506078749601E-2"/>
    <n v="6"/>
    <x v="1"/>
    <n v="9.2281903170525101"/>
    <n v="2"/>
    <x v="0"/>
    <x v="2"/>
    <n v="405.1671"/>
  </r>
  <r>
    <x v="2"/>
    <x v="72"/>
    <n v="90.204400000000007"/>
    <n v="88"/>
    <n v="478"/>
    <n v="2633.1219999999998"/>
    <x v="0"/>
    <n v="57"/>
    <n v="77"/>
    <n v="29"/>
    <s v="Supplier 1"/>
    <x v="3"/>
    <n v="152"/>
    <n v="11"/>
    <n v="55.7605"/>
    <s v="Pending"/>
    <n v="3.2133296074383"/>
    <n v="3.2133296074382998E-2"/>
    <n v="9"/>
    <x v="1"/>
    <n v="6.5996141596895397"/>
    <n v="21"/>
    <x v="2"/>
    <x v="0"/>
    <n v="677.94460000000004"/>
  </r>
  <r>
    <x v="2"/>
    <x v="73"/>
    <n v="83.850999999999999"/>
    <n v="41"/>
    <n v="375"/>
    <n v="7910.8869000000004"/>
    <x v="3"/>
    <n v="17"/>
    <n v="66"/>
    <n v="25"/>
    <s v="Supplier 4"/>
    <x v="4"/>
    <n v="444"/>
    <n v="4"/>
    <n v="46.870199999999997"/>
    <s v="Fail"/>
    <n v="4.6205460645137002"/>
    <n v="4.6205460645137003E-2"/>
    <n v="5"/>
    <x v="0"/>
    <n v="1.5129368369160701"/>
    <n v="13"/>
    <x v="0"/>
    <x v="2"/>
    <n v="866.47280000000001"/>
  </r>
  <r>
    <x v="0"/>
    <x v="74"/>
    <n v="3.17"/>
    <n v="64"/>
    <n v="904"/>
    <n v="5709.9453000000003"/>
    <x v="1"/>
    <n v="41"/>
    <n v="1"/>
    <n v="6"/>
    <s v="Supplier 4"/>
    <x v="2"/>
    <n v="919"/>
    <n v="9"/>
    <n v="80.5809"/>
    <s v="Fail"/>
    <n v="0.39661272410993498"/>
    <n v="3.9661272410993495E-3"/>
    <n v="5"/>
    <x v="1"/>
    <n v="5.2376546500374399"/>
    <n v="1"/>
    <x v="2"/>
    <x v="2"/>
    <n v="341.55270000000002"/>
  </r>
  <r>
    <x v="1"/>
    <x v="75"/>
    <n v="92.996899999999997"/>
    <n v="29"/>
    <n v="106"/>
    <n v="1889.0735999999999"/>
    <x v="0"/>
    <n v="16"/>
    <n v="56"/>
    <n v="20"/>
    <s v="Supplier 1"/>
    <x v="4"/>
    <n v="759"/>
    <n v="11"/>
    <n v="48.064799999999998"/>
    <s v="Pass"/>
    <n v="2.0300690886687498"/>
    <n v="2.0300690886687497E-2"/>
    <n v="10"/>
    <x v="2"/>
    <n v="2.47389776104546"/>
    <n v="25"/>
    <x v="1"/>
    <x v="1"/>
    <n v="873.12959999999998"/>
  </r>
  <r>
    <x v="0"/>
    <x v="76"/>
    <n v="69.108800000000002"/>
    <n v="23"/>
    <n v="241"/>
    <n v="5328.3760000000002"/>
    <x v="3"/>
    <n v="38"/>
    <n v="22"/>
    <n v="1"/>
    <s v="Supplier 2"/>
    <x v="3"/>
    <n v="985"/>
    <n v="24"/>
    <n v="64.323599999999999"/>
    <s v="Pending"/>
    <n v="2.1800374515822099"/>
    <n v="2.1800374515822098E-2"/>
    <n v="10"/>
    <x v="1"/>
    <n v="7.0545383368369201"/>
    <n v="25"/>
    <x v="2"/>
    <x v="2"/>
    <n v="997.4135"/>
  </r>
  <r>
    <x v="0"/>
    <x v="77"/>
    <n v="57.4497"/>
    <n v="14"/>
    <n v="359"/>
    <n v="2483.7602000000002"/>
    <x v="2"/>
    <n v="96"/>
    <n v="57"/>
    <n v="28"/>
    <s v="Supplier 1"/>
    <x v="1"/>
    <n v="334"/>
    <n v="5"/>
    <n v="42.952399999999997"/>
    <s v="Pass"/>
    <n v="3.0551418183075398"/>
    <n v="3.0551418183075399E-2"/>
    <n v="4"/>
    <x v="0"/>
    <n v="6.7809466256178901"/>
    <n v="26"/>
    <x v="0"/>
    <x v="0"/>
    <n v="852.56809999999996"/>
  </r>
  <r>
    <x v="0"/>
    <x v="78"/>
    <n v="6.3068999999999997"/>
    <n v="50"/>
    <n v="946"/>
    <n v="1292.4584"/>
    <x v="2"/>
    <n v="5"/>
    <n v="51"/>
    <n v="4"/>
    <s v="Supplier 5"/>
    <x v="0"/>
    <n v="858"/>
    <n v="21"/>
    <n v="71.126499999999993"/>
    <s v="Pending"/>
    <n v="4.0968813324704501"/>
    <n v="4.0968813324704499E-2"/>
    <n v="5"/>
    <x v="0"/>
    <n v="8.4670497708619905"/>
    <n v="25"/>
    <x v="3"/>
    <x v="1"/>
    <n v="323.59219999999999"/>
  </r>
  <r>
    <x v="0"/>
    <x v="79"/>
    <n v="57.057000000000002"/>
    <n v="56"/>
    <n v="198"/>
    <n v="7888.7232999999997"/>
    <x v="0"/>
    <n v="31"/>
    <n v="20"/>
    <n v="25"/>
    <s v="Supplier 3"/>
    <x v="3"/>
    <n v="228"/>
    <n v="12"/>
    <n v="57.870899999999999"/>
    <s v="Pending"/>
    <n v="0.16587162748060799"/>
    <n v="1.65871627480608E-3"/>
    <n v="1"/>
    <x v="0"/>
    <n v="6.49632536429504"/>
    <n v="5"/>
    <x v="1"/>
    <x v="1"/>
    <n v="351.50420000000003"/>
  </r>
  <r>
    <x v="1"/>
    <x v="80"/>
    <n v="91.128299999999996"/>
    <n v="75"/>
    <n v="872"/>
    <n v="8651.6726999999992"/>
    <x v="2"/>
    <n v="39"/>
    <n v="41"/>
    <n v="14"/>
    <s v="Supplier 3"/>
    <x v="4"/>
    <n v="202"/>
    <n v="5"/>
    <n v="76.961200000000005"/>
    <s v="Fail"/>
    <n v="2.8496621985053299"/>
    <n v="2.8496621985053299E-2"/>
    <n v="2"/>
    <x v="2"/>
    <n v="2.8331846794189701"/>
    <n v="8"/>
    <x v="3"/>
    <x v="0"/>
    <n v="787.7799"/>
  </r>
  <r>
    <x v="0"/>
    <x v="81"/>
    <n v="72.819199999999995"/>
    <n v="9"/>
    <n v="774"/>
    <n v="4384.4134000000004"/>
    <x v="2"/>
    <n v="48"/>
    <n v="8"/>
    <n v="6"/>
    <s v="Supplier 3"/>
    <x v="2"/>
    <n v="698"/>
    <n v="1"/>
    <n v="19.7896"/>
    <s v="Pending"/>
    <n v="2.54754712154871"/>
    <n v="2.54754712154871E-2"/>
    <n v="5"/>
    <x v="0"/>
    <n v="4.0662775015120403"/>
    <n v="28"/>
    <x v="2"/>
    <x v="0"/>
    <n v="276.7783"/>
  </r>
  <r>
    <x v="1"/>
    <x v="82"/>
    <n v="17.0349"/>
    <n v="13"/>
    <n v="336"/>
    <n v="2943.3818999999999"/>
    <x v="2"/>
    <n v="42"/>
    <n v="72"/>
    <n v="19"/>
    <s v="Supplier 2"/>
    <x v="0"/>
    <n v="955"/>
    <n v="26"/>
    <n v="4.4653"/>
    <s v="Pending"/>
    <n v="4.1378770486223502"/>
    <n v="4.1378770486223501E-2"/>
    <n v="1"/>
    <x v="1"/>
    <n v="4.7081818735419301"/>
    <n v="6"/>
    <x v="0"/>
    <x v="1"/>
    <n v="589.97860000000003"/>
  </r>
  <r>
    <x v="0"/>
    <x v="83"/>
    <n v="68.911199999999994"/>
    <n v="82"/>
    <n v="663"/>
    <n v="2411.7546000000002"/>
    <x v="2"/>
    <n v="65"/>
    <n v="7"/>
    <n v="24"/>
    <s v="Supplier 1"/>
    <x v="3"/>
    <n v="443"/>
    <n v="5"/>
    <n v="97.730599999999995"/>
    <s v="Fail"/>
    <n v="0.77300613406724705"/>
    <n v="7.7300613406724701E-3"/>
    <n v="8"/>
    <x v="0"/>
    <n v="4.94983957799694"/>
    <n v="20"/>
    <x v="0"/>
    <x v="2"/>
    <n v="682.971"/>
  </r>
  <r>
    <x v="0"/>
    <x v="84"/>
    <n v="89.104399999999998"/>
    <n v="99"/>
    <n v="618"/>
    <n v="2048.2901000000002"/>
    <x v="2"/>
    <n v="73"/>
    <n v="80"/>
    <n v="26"/>
    <s v="Supplier 5"/>
    <x v="4"/>
    <n v="589"/>
    <n v="22"/>
    <n v="33.808599999999998"/>
    <s v="Pass"/>
    <n v="4.8434565771180402"/>
    <n v="4.8434565771180403E-2"/>
    <n v="10"/>
    <x v="1"/>
    <n v="8.3816156249226292"/>
    <n v="24"/>
    <x v="1"/>
    <x v="0"/>
    <n v="465.45699999999999"/>
  </r>
  <r>
    <x v="2"/>
    <x v="85"/>
    <n v="76.962999999999994"/>
    <n v="83"/>
    <n v="25"/>
    <n v="8684.6131000000005"/>
    <x v="1"/>
    <n v="15"/>
    <n v="66"/>
    <n v="18"/>
    <s v="Supplier 5"/>
    <x v="4"/>
    <n v="211"/>
    <n v="2"/>
    <n v="69.929299999999998"/>
    <s v="Fail"/>
    <n v="1.3744289997457499"/>
    <n v="1.37442899974575E-2"/>
    <n v="2"/>
    <x v="2"/>
    <n v="8.2491687048717193"/>
    <n v="4"/>
    <x v="0"/>
    <x v="0"/>
    <n v="842.68679999999995"/>
  </r>
  <r>
    <x v="1"/>
    <x v="86"/>
    <n v="19.998200000000001"/>
    <n v="18"/>
    <n v="223"/>
    <n v="1229.5909999999999"/>
    <x v="2"/>
    <n v="32"/>
    <n v="22"/>
    <n v="14"/>
    <s v="Supplier 1"/>
    <x v="0"/>
    <n v="569"/>
    <n v="18"/>
    <n v="74.608999999999995"/>
    <s v="Pass"/>
    <n v="2.0515129307662399"/>
    <n v="2.0515129307662399E-2"/>
    <n v="6"/>
    <x v="0"/>
    <n v="1.4543053101535499"/>
    <n v="4"/>
    <x v="2"/>
    <x v="2"/>
    <n v="264.25490000000002"/>
  </r>
  <r>
    <x v="0"/>
    <x v="87"/>
    <n v="80.414000000000001"/>
    <n v="24"/>
    <n v="79"/>
    <n v="5133.8467000000001"/>
    <x v="3"/>
    <n v="5"/>
    <n v="55"/>
    <n v="7"/>
    <s v="Supplier 3"/>
    <x v="4"/>
    <n v="523"/>
    <n v="17"/>
    <n v="28.696999999999999"/>
    <s v="Fail"/>
    <n v="3.6937377878392699"/>
    <n v="3.6937377878392699E-2"/>
    <n v="10"/>
    <x v="1"/>
    <n v="6.5758037975485299"/>
    <n v="27"/>
    <x v="3"/>
    <x v="0"/>
    <n v="879.35919999999999"/>
  </r>
  <r>
    <x v="2"/>
    <x v="88"/>
    <n v="75.270399999999995"/>
    <n v="58"/>
    <n v="737"/>
    <n v="9444.7420000000002"/>
    <x v="3"/>
    <n v="60"/>
    <n v="85"/>
    <n v="18"/>
    <s v="Supplier 2"/>
    <x v="0"/>
    <n v="953"/>
    <n v="11"/>
    <n v="68.184899999999999"/>
    <s v="Pending"/>
    <n v="0.722204401882931"/>
    <n v="7.22204401882931E-3"/>
    <n v="7"/>
    <x v="1"/>
    <n v="3.8012531329310701"/>
    <n v="21"/>
    <x v="3"/>
    <x v="2"/>
    <n v="103.9162"/>
  </r>
  <r>
    <x v="2"/>
    <x v="89"/>
    <n v="97.760099999999994"/>
    <n v="10"/>
    <n v="134"/>
    <n v="5924.6826000000001"/>
    <x v="2"/>
    <n v="90"/>
    <n v="27"/>
    <n v="1"/>
    <s v="Supplier 1"/>
    <x v="1"/>
    <n v="370"/>
    <n v="11"/>
    <n v="46.603900000000003"/>
    <s v="Pending"/>
    <n v="1.9076657339590699"/>
    <n v="1.90766573395907E-2"/>
    <n v="8"/>
    <x v="0"/>
    <n v="9.9298162452772498"/>
    <n v="23"/>
    <x v="2"/>
    <x v="0"/>
    <n v="517.5"/>
  </r>
  <r>
    <x v="1"/>
    <x v="90"/>
    <n v="13.8819"/>
    <n v="56"/>
    <n v="320"/>
    <n v="9592.6335999999992"/>
    <x v="0"/>
    <n v="66"/>
    <n v="96"/>
    <n v="18"/>
    <s v="Supplier 3"/>
    <x v="3"/>
    <n v="585"/>
    <n v="8"/>
    <n v="85.676000000000002"/>
    <s v="Pass"/>
    <n v="1.2193822244013801"/>
    <n v="1.21938222440138E-2"/>
    <n v="7"/>
    <x v="0"/>
    <n v="7.6744307081126903"/>
    <n v="8"/>
    <x v="2"/>
    <x v="0"/>
    <n v="990.07849999999996"/>
  </r>
  <r>
    <x v="2"/>
    <x v="91"/>
    <n v="62.112000000000002"/>
    <n v="90"/>
    <n v="916"/>
    <n v="1935.2067999999999"/>
    <x v="3"/>
    <n v="98"/>
    <n v="85"/>
    <n v="22"/>
    <s v="Supplier 4"/>
    <x v="2"/>
    <n v="207"/>
    <n v="28"/>
    <n v="39.7729"/>
    <s v="Pending"/>
    <n v="0.62600185820939402"/>
    <n v="6.2600185820939399E-3"/>
    <n v="7"/>
    <x v="0"/>
    <n v="7.4715140844011403"/>
    <n v="5"/>
    <x v="2"/>
    <x v="0"/>
    <n v="996.77829999999994"/>
  </r>
  <r>
    <x v="2"/>
    <x v="92"/>
    <n v="47.714199999999998"/>
    <n v="44"/>
    <n v="276"/>
    <n v="2100.1298000000002"/>
    <x v="3"/>
    <n v="90"/>
    <n v="10"/>
    <n v="25"/>
    <s v="Supplier 2"/>
    <x v="0"/>
    <n v="671"/>
    <n v="29"/>
    <n v="62.612699999999997"/>
    <s v="Pass"/>
    <n v="0.33343182522473902"/>
    <n v="3.3343182522473903E-3"/>
    <n v="8"/>
    <x v="0"/>
    <n v="4.4695000261236002"/>
    <n v="4"/>
    <x v="2"/>
    <x v="0"/>
    <n v="230.09280000000001"/>
  </r>
  <r>
    <x v="0"/>
    <x v="93"/>
    <n v="69.290800000000004"/>
    <n v="88"/>
    <n v="114"/>
    <n v="4531.4021000000002"/>
    <x v="2"/>
    <n v="63"/>
    <n v="66"/>
    <n v="17"/>
    <s v="Supplier 4"/>
    <x v="4"/>
    <n v="824"/>
    <n v="20"/>
    <n v="35.633699999999997"/>
    <s v="Fail"/>
    <n v="4.1657817954241398"/>
    <n v="4.1657817954241401E-2"/>
    <n v="1"/>
    <x v="2"/>
    <n v="7.00643205900439"/>
    <n v="21"/>
    <x v="1"/>
    <x v="2"/>
    <n v="823.52380000000005"/>
  </r>
  <r>
    <x v="2"/>
    <x v="94"/>
    <n v="3.0377000000000001"/>
    <n v="97"/>
    <n v="987"/>
    <n v="7888.3564999999999"/>
    <x v="2"/>
    <n v="77"/>
    <n v="72"/>
    <n v="26"/>
    <s v="Supplier 2"/>
    <x v="2"/>
    <n v="908"/>
    <n v="14"/>
    <n v="60.3874"/>
    <s v="Pass"/>
    <n v="1.4636074984727701"/>
    <n v="1.4636074984727701E-2"/>
    <n v="9"/>
    <x v="0"/>
    <n v="6.9429459420325799"/>
    <n v="12"/>
    <x v="2"/>
    <x v="0"/>
    <n v="846.6653"/>
  </r>
  <r>
    <x v="0"/>
    <x v="95"/>
    <n v="77.903899999999993"/>
    <n v="65"/>
    <n v="672"/>
    <n v="7386.3639000000003"/>
    <x v="2"/>
    <n v="15"/>
    <n v="26"/>
    <n v="14"/>
    <s v="Supplier 4"/>
    <x v="0"/>
    <n v="450"/>
    <n v="26"/>
    <n v="58.890700000000002"/>
    <s v="Pending"/>
    <n v="1.21088212958506"/>
    <n v="1.21088212958506E-2"/>
    <n v="9"/>
    <x v="0"/>
    <n v="8.6303388696027508"/>
    <n v="18"/>
    <x v="1"/>
    <x v="2"/>
    <n v="778.86419999999998"/>
  </r>
  <r>
    <x v="2"/>
    <x v="96"/>
    <n v="24.423100000000002"/>
    <n v="29"/>
    <n v="324"/>
    <n v="7698.4247999999998"/>
    <x v="0"/>
    <n v="67"/>
    <n v="32"/>
    <n v="2"/>
    <s v="Supplier 3"/>
    <x v="0"/>
    <n v="648"/>
    <n v="28"/>
    <n v="17.803799999999999"/>
    <s v="Pending"/>
    <n v="3.8720476814821301"/>
    <n v="3.8720476814821297E-2"/>
    <n v="3"/>
    <x v="2"/>
    <n v="5.3528780439967996"/>
    <n v="28"/>
    <x v="0"/>
    <x v="2"/>
    <n v="188.74209999999999"/>
  </r>
  <r>
    <x v="0"/>
    <x v="97"/>
    <n v="3.5261"/>
    <n v="56"/>
    <n v="62"/>
    <n v="4370.9165999999996"/>
    <x v="3"/>
    <n v="46"/>
    <n v="4"/>
    <n v="19"/>
    <s v="Supplier 4"/>
    <x v="0"/>
    <n v="535"/>
    <n v="13"/>
    <n v="65.765199999999993"/>
    <s v="Fail"/>
    <n v="3.3762378347179798"/>
    <n v="3.3762378347179794E-2"/>
    <n v="9"/>
    <x v="1"/>
    <n v="7.9048456112096703"/>
    <n v="10"/>
    <x v="0"/>
    <x v="2"/>
    <n v="540.13239999999996"/>
  </r>
  <r>
    <x v="1"/>
    <x v="98"/>
    <n v="19.7546"/>
    <n v="43"/>
    <n v="913"/>
    <n v="8525.9526000000005"/>
    <x v="1"/>
    <n v="53"/>
    <n v="27"/>
    <n v="1"/>
    <s v="Supplier 5"/>
    <x v="4"/>
    <n v="581"/>
    <n v="9"/>
    <n v="5.6047000000000002"/>
    <s v="Pending"/>
    <n v="2.9081221693512598"/>
    <n v="2.9081221693512599E-2"/>
    <n v="7"/>
    <x v="0"/>
    <n v="1.4098010951380699"/>
    <n v="28"/>
    <x v="2"/>
    <x v="2"/>
    <n v="882.19889999999998"/>
  </r>
  <r>
    <x v="0"/>
    <x v="99"/>
    <n v="68.517799999999994"/>
    <n v="17"/>
    <n v="627"/>
    <n v="9185.1857999999993"/>
    <x v="2"/>
    <n v="55"/>
    <n v="59"/>
    <n v="8"/>
    <s v="Supplier 2"/>
    <x v="4"/>
    <n v="921"/>
    <n v="2"/>
    <n v="38.072899999999997"/>
    <s v="Fail"/>
    <n v="0.34602729070550298"/>
    <n v="3.46027290705503E-3"/>
    <n v="6"/>
    <x v="0"/>
    <n v="1.3110237561206199"/>
    <n v="29"/>
    <x v="2"/>
    <x v="0"/>
    <n v="210.742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4F16A-9EA5-418B-BCA4-CB296D604429}" name="PivotTable2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Transport Mode">
  <location ref="A280:B285" firstHeaderRow="1" firstDataRow="1" firstDataCol="1"/>
  <pivotFields count="25">
    <pivotField showAll="0">
      <items count="4">
        <item x="2"/>
        <item x="0"/>
        <item x="1"/>
        <item t="default"/>
      </items>
    </pivotField>
    <pivotField showAll="0"/>
    <pivotField numFmtId="166" showAll="0"/>
    <pivotField numFmtId="1" showAll="0"/>
    <pivotField numFmtId="1" showAll="0"/>
    <pivotField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showAll="0">
      <items count="4">
        <item x="1"/>
        <item x="0"/>
        <item x="2"/>
        <item t="default"/>
      </items>
    </pivotField>
    <pivotField numFmtId="166" showAll="0"/>
    <pivotField numFmtId="1"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numFmtId="166" showAll="0"/>
  </pivotFields>
  <rowFields count="1">
    <field x="22"/>
  </rowFields>
  <rowItems count="5">
    <i>
      <x/>
    </i>
    <i>
      <x v="2"/>
    </i>
    <i>
      <x v="1"/>
    </i>
    <i>
      <x v="3"/>
    </i>
    <i t="grand">
      <x/>
    </i>
  </rowItems>
  <colItems count="1">
    <i/>
  </colItems>
  <dataFields count="1">
    <dataField name="Average Costs" fld="24" subtotal="average" baseField="22" baseItem="0" numFmtId="166"/>
  </dataFields>
  <formats count="2">
    <format dxfId="1">
      <pivotArea outline="0" collapsedLevelsAreSubtotals="1" fieldPosition="0"/>
    </format>
    <format dxfId="0">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9C0E9-F0DD-4788-9D3C-38447F6A34D3}" name="PivotTable1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KU">
  <location ref="A54:B155" firstHeaderRow="1" firstDataRow="1" firstDataCol="1"/>
  <pivotFields count="25">
    <pivotField showAll="0">
      <items count="4">
        <item x="2"/>
        <item x="0"/>
        <item x="1"/>
        <item t="default"/>
      </items>
    </pivotField>
    <pivotField axis="axisRow" showAll="0"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6" showAll="0"/>
    <pivotField numFmtId="1" showAll="0"/>
    <pivotField numFmtId="1" showAll="0"/>
    <pivotField dataField="1"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showAll="0">
      <items count="4">
        <item x="1"/>
        <item x="0"/>
        <item x="2"/>
        <item t="default"/>
      </items>
    </pivotField>
    <pivotField numFmtId="166" showAll="0"/>
    <pivotField numFmtId="1" showAll="0"/>
    <pivotField showAll="0"/>
    <pivotField showAll="0"/>
    <pivotField numFmtId="166" showAll="0"/>
  </pivotFields>
  <rowFields count="1">
    <field x="1"/>
  </rowFields>
  <rowItems count="101">
    <i>
      <x v="47"/>
    </i>
    <i>
      <x v="32"/>
    </i>
    <i>
      <x v="25"/>
    </i>
    <i>
      <x v="90"/>
    </i>
    <i>
      <x v="12"/>
    </i>
    <i>
      <x v="26"/>
    </i>
    <i>
      <x v="64"/>
    </i>
    <i>
      <x v="87"/>
    </i>
    <i>
      <x v="48"/>
    </i>
    <i>
      <x v="10"/>
    </i>
    <i>
      <x v="99"/>
    </i>
    <i>
      <x v="28"/>
    </i>
    <i>
      <x v="17"/>
    </i>
    <i>
      <x v="57"/>
    </i>
    <i>
      <x v="16"/>
    </i>
    <i>
      <x v="84"/>
    </i>
    <i>
      <x/>
    </i>
    <i>
      <x v="6"/>
    </i>
    <i>
      <x v="79"/>
    </i>
    <i>
      <x v="98"/>
    </i>
    <i>
      <x v="67"/>
    </i>
    <i>
      <x v="61"/>
    </i>
    <i>
      <x v="63"/>
    </i>
    <i>
      <x v="62"/>
    </i>
    <i>
      <x v="22"/>
    </i>
    <i>
      <x v="49"/>
    </i>
    <i>
      <x v="69"/>
    </i>
    <i>
      <x v="13"/>
    </i>
    <i>
      <x v="44"/>
    </i>
    <i>
      <x v="71"/>
    </i>
    <i>
      <x v="77"/>
    </i>
    <i>
      <x v="94"/>
    </i>
    <i>
      <x v="56"/>
    </i>
    <i>
      <x v="23"/>
    </i>
    <i>
      <x v="96"/>
    </i>
    <i>
      <x v="30"/>
    </i>
    <i>
      <x v="78"/>
    </i>
    <i>
      <x v="1"/>
    </i>
    <i>
      <x v="43"/>
    </i>
    <i>
      <x v="95"/>
    </i>
    <i>
      <x v="39"/>
    </i>
    <i>
      <x v="42"/>
    </i>
    <i>
      <x v="14"/>
    </i>
    <i>
      <x v="68"/>
    </i>
    <i>
      <x v="58"/>
    </i>
    <i>
      <x v="29"/>
    </i>
    <i>
      <x v="8"/>
    </i>
    <i>
      <x v="21"/>
    </i>
    <i>
      <x v="3"/>
    </i>
    <i>
      <x v="50"/>
    </i>
    <i>
      <x v="88"/>
    </i>
    <i>
      <x v="46"/>
    </i>
    <i>
      <x v="38"/>
    </i>
    <i>
      <x v="35"/>
    </i>
    <i>
      <x v="72"/>
    </i>
    <i>
      <x v="36"/>
    </i>
    <i>
      <x v="7"/>
    </i>
    <i>
      <x v="74"/>
    </i>
    <i>
      <x v="40"/>
    </i>
    <i>
      <x v="27"/>
    </i>
    <i>
      <x v="86"/>
    </i>
    <i>
      <x v="89"/>
    </i>
    <i>
      <x v="52"/>
    </i>
    <i>
      <x v="93"/>
    </i>
    <i>
      <x v="80"/>
    </i>
    <i>
      <x v="97"/>
    </i>
    <i>
      <x v="60"/>
    </i>
    <i>
      <x v="5"/>
    </i>
    <i>
      <x v="59"/>
    </i>
    <i>
      <x v="19"/>
    </i>
    <i>
      <x v="65"/>
    </i>
    <i>
      <x v="81"/>
    </i>
    <i>
      <x v="51"/>
    </i>
    <i>
      <x v="4"/>
    </i>
    <i>
      <x v="45"/>
    </i>
    <i>
      <x v="24"/>
    </i>
    <i>
      <x v="34"/>
    </i>
    <i>
      <x v="20"/>
    </i>
    <i>
      <x v="70"/>
    </i>
    <i>
      <x v="9"/>
    </i>
    <i>
      <x v="41"/>
    </i>
    <i>
      <x v="11"/>
    </i>
    <i>
      <x v="75"/>
    </i>
    <i>
      <x v="31"/>
    </i>
    <i>
      <x v="82"/>
    </i>
    <i>
      <x v="15"/>
    </i>
    <i>
      <x v="2"/>
    </i>
    <i>
      <x v="18"/>
    </i>
    <i>
      <x v="92"/>
    </i>
    <i>
      <x v="83"/>
    </i>
    <i>
      <x v="54"/>
    </i>
    <i>
      <x v="91"/>
    </i>
    <i>
      <x v="33"/>
    </i>
    <i>
      <x v="73"/>
    </i>
    <i>
      <x v="37"/>
    </i>
    <i>
      <x v="66"/>
    </i>
    <i>
      <x v="53"/>
    </i>
    <i>
      <x v="76"/>
    </i>
    <i>
      <x v="85"/>
    </i>
    <i>
      <x v="55"/>
    </i>
    <i t="grand">
      <x/>
    </i>
  </rowItems>
  <colItems count="1">
    <i/>
  </colItems>
  <dataFields count="1">
    <dataField name="Total Revenue" fld="5" baseField="0" baseItem="0" numFmtId="166"/>
  </dataFields>
  <chartFormats count="5">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C23DD9-5E7A-49D4-834F-D08705914060}" name="PivotTable1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hipping Carriers">
  <location ref="A40:B44" firstHeaderRow="1" firstDataRow="1" firstDataCol="1"/>
  <pivotFields count="25">
    <pivotField showAll="0">
      <items count="4">
        <item x="2"/>
        <item x="0"/>
        <item x="1"/>
        <item t="default"/>
      </items>
    </pivotField>
    <pivotField showAll="0"/>
    <pivotField numFmtId="166" showAll="0"/>
    <pivotField numFmtId="1" showAll="0"/>
    <pivotField numFmtId="1" showAll="0"/>
    <pivotField dataField="1"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axis="axisRow" showAll="0">
      <items count="4">
        <item x="1"/>
        <item x="0"/>
        <item x="2"/>
        <item t="default"/>
      </items>
    </pivotField>
    <pivotField numFmtId="166" showAll="0"/>
    <pivotField numFmtId="1" showAll="0"/>
    <pivotField showAll="0"/>
    <pivotField showAll="0"/>
    <pivotField numFmtId="166" showAll="0"/>
  </pivotFields>
  <rowFields count="1">
    <field x="19"/>
  </rowFields>
  <rowItems count="4">
    <i>
      <x/>
    </i>
    <i>
      <x v="1"/>
    </i>
    <i>
      <x v="2"/>
    </i>
    <i t="grand">
      <x/>
    </i>
  </rowItems>
  <colItems count="1">
    <i/>
  </colItems>
  <dataFields count="1">
    <dataField name="Total Revenue" fld="5" baseField="0" baseItem="0" numFmtId="166"/>
  </dataFields>
  <chartFormats count="4">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A373A-E977-4046-A390-41571D1BBFAD}" name="PivotTable1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hipping Carriers">
  <location ref="A264:B268" firstHeaderRow="1" firstDataRow="1" firstDataCol="1"/>
  <pivotFields count="25">
    <pivotField showAll="0">
      <items count="4">
        <item x="2"/>
        <item x="0"/>
        <item x="1"/>
        <item t="default"/>
      </items>
    </pivotField>
    <pivotField showAll="0"/>
    <pivotField numFmtId="166" showAll="0"/>
    <pivotField numFmtId="1" showAll="0"/>
    <pivotField numFmtId="1" showAll="0"/>
    <pivotField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axis="axisRow" showAll="0">
      <items count="4">
        <item x="1"/>
        <item x="0"/>
        <item x="2"/>
        <item t="default"/>
      </items>
    </pivotField>
    <pivotField dataField="1" numFmtId="166" showAll="0"/>
    <pivotField numFmtId="1" showAll="0"/>
    <pivotField showAll="0"/>
    <pivotField showAll="0">
      <items count="4">
        <item x="2"/>
        <item x="0"/>
        <item x="1"/>
        <item t="default"/>
      </items>
    </pivotField>
    <pivotField numFmtId="166" showAll="0"/>
  </pivotFields>
  <rowFields count="1">
    <field x="19"/>
  </rowFields>
  <rowItems count="4">
    <i>
      <x/>
    </i>
    <i>
      <x v="1"/>
    </i>
    <i>
      <x v="2"/>
    </i>
    <i t="grand">
      <x/>
    </i>
  </rowItems>
  <colItems count="1">
    <i/>
  </colItems>
  <dataFields count="1">
    <dataField name="Average of Shipping costs" fld="20" subtotal="average" baseField="19" baseItem="0" numFmtId="167"/>
  </dataFields>
  <formats count="2">
    <format dxfId="3">
      <pivotArea outline="0" collapsedLevelsAreSubtotals="1" fieldPosition="0"/>
    </format>
    <format dxfId="2">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1ACAB6-F0FA-4685-8552-BC2671B022EA}" name="PivotTable2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Transport Mode">
  <location ref="A297:B313" firstHeaderRow="1" firstDataRow="1" firstDataCol="1"/>
  <pivotFields count="25">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6" showAll="0"/>
    <pivotField numFmtId="1" showAll="0"/>
    <pivotField numFmtId="1" showAll="0"/>
    <pivotField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dataField="1" numFmtId="10" showAll="0"/>
    <pivotField numFmtId="1" showAll="0"/>
    <pivotField showAll="0">
      <items count="4">
        <item x="1"/>
        <item x="0"/>
        <item x="2"/>
        <item t="default"/>
      </items>
    </pivotField>
    <pivotField numFmtId="166" showAll="0"/>
    <pivotField numFmtId="1" showAll="0"/>
    <pivotField axis="axisRow" showAll="0">
      <items count="5">
        <item x="1"/>
        <item x="2"/>
        <item x="0"/>
        <item x="3"/>
        <item t="default"/>
      </items>
    </pivotField>
    <pivotField showAll="0">
      <items count="4">
        <item x="2"/>
        <item x="0"/>
        <item x="1"/>
        <item t="default"/>
      </items>
    </pivotField>
    <pivotField numFmtId="166" showAll="0"/>
  </pivotFields>
  <rowFields count="2">
    <field x="0"/>
    <field x="22"/>
  </rowFields>
  <rowItems count="16">
    <i>
      <x v="1"/>
    </i>
    <i r="1">
      <x/>
    </i>
    <i r="1">
      <x v="1"/>
    </i>
    <i r="1">
      <x v="2"/>
    </i>
    <i r="1">
      <x v="3"/>
    </i>
    <i>
      <x v="2"/>
    </i>
    <i r="1">
      <x/>
    </i>
    <i r="1">
      <x v="1"/>
    </i>
    <i r="1">
      <x v="2"/>
    </i>
    <i r="1">
      <x v="3"/>
    </i>
    <i>
      <x/>
    </i>
    <i r="1">
      <x/>
    </i>
    <i r="1">
      <x v="1"/>
    </i>
    <i r="1">
      <x v="2"/>
    </i>
    <i r="1">
      <x v="3"/>
    </i>
    <i t="grand">
      <x/>
    </i>
  </rowItems>
  <colItems count="1">
    <i/>
  </colItems>
  <dataFields count="1">
    <dataField name="Average of Defect Rate (%)" fld="17" subtotal="average" baseField="0" baseItem="0" numFmtId="10"/>
  </dataFields>
  <formats count="2">
    <format dxfId="5">
      <pivotArea dataOnly="0" labelOnly="1" outline="0" axis="axisValues" fieldPosition="0"/>
    </format>
    <format dxfId="4">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50AB16-1446-48F1-9765-85A6F443C1E4}" name="PivotTable1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KU">
  <location ref="A159:B260" firstHeaderRow="1" firstDataRow="1" firstDataCol="1"/>
  <pivotFields count="25">
    <pivotField showAll="0">
      <items count="4">
        <item x="2"/>
        <item x="0"/>
        <item x="1"/>
        <item t="default"/>
      </items>
    </pivotField>
    <pivotField axis="axisRow" showAll="0"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6" showAll="0"/>
    <pivotField numFmtId="1" showAll="0"/>
    <pivotField numFmtId="1" showAll="0"/>
    <pivotField numFmtId="166" showAll="0"/>
    <pivotField showAll="0"/>
    <pivotField dataField="1"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showAll="0">
      <items count="4">
        <item x="1"/>
        <item x="0"/>
        <item x="2"/>
        <item t="default"/>
      </items>
    </pivotField>
    <pivotField numFmtId="166" showAll="0"/>
    <pivotField numFmtId="1" showAll="0"/>
    <pivotField showAll="0"/>
    <pivotField showAll="0"/>
    <pivotField numFmtId="166" showAll="0"/>
  </pivotFields>
  <rowFields count="1">
    <field x="1"/>
  </rowFields>
  <rowItems count="101">
    <i>
      <x v="4"/>
    </i>
    <i>
      <x v="55"/>
    </i>
    <i>
      <x v="47"/>
    </i>
    <i>
      <x v="91"/>
    </i>
    <i>
      <x v="44"/>
    </i>
    <i>
      <x v="51"/>
    </i>
    <i>
      <x v="75"/>
    </i>
    <i>
      <x v="49"/>
    </i>
    <i>
      <x v="66"/>
    </i>
    <i>
      <x v="67"/>
    </i>
    <i>
      <x v="40"/>
    </i>
    <i>
      <x v="41"/>
    </i>
    <i>
      <x v="92"/>
    </i>
    <i>
      <x v="88"/>
    </i>
    <i>
      <x v="35"/>
    </i>
    <i>
      <x v="45"/>
    </i>
    <i>
      <x v="26"/>
    </i>
    <i>
      <x v="59"/>
    </i>
    <i>
      <x v="16"/>
    </i>
    <i>
      <x v="18"/>
    </i>
    <i>
      <x v="5"/>
    </i>
    <i>
      <x v="33"/>
    </i>
    <i>
      <x v="94"/>
    </i>
    <i>
      <x v="69"/>
    </i>
    <i>
      <x v="83"/>
    </i>
    <i>
      <x v="61"/>
    </i>
    <i>
      <x v="15"/>
    </i>
    <i>
      <x v="14"/>
    </i>
    <i>
      <x v="32"/>
    </i>
    <i>
      <x v="96"/>
    </i>
    <i>
      <x v="90"/>
    </i>
    <i>
      <x v="82"/>
    </i>
    <i>
      <x v="36"/>
    </i>
    <i>
      <x v="48"/>
    </i>
    <i>
      <x v="93"/>
    </i>
    <i>
      <x v="87"/>
    </i>
    <i>
      <x v="24"/>
    </i>
    <i>
      <x v="19"/>
    </i>
    <i>
      <x/>
    </i>
    <i>
      <x v="70"/>
    </i>
    <i>
      <x v="62"/>
    </i>
    <i>
      <x v="99"/>
    </i>
    <i>
      <x v="6"/>
    </i>
    <i>
      <x v="60"/>
    </i>
    <i>
      <x v="98"/>
    </i>
    <i>
      <x v="1"/>
    </i>
    <i>
      <x v="2"/>
    </i>
    <i>
      <x v="21"/>
    </i>
    <i>
      <x v="80"/>
    </i>
    <i>
      <x v="11"/>
    </i>
    <i>
      <x v="20"/>
    </i>
    <i>
      <x v="3"/>
    </i>
    <i>
      <x v="97"/>
    </i>
    <i>
      <x v="9"/>
    </i>
    <i>
      <x v="22"/>
    </i>
    <i>
      <x v="81"/>
    </i>
    <i>
      <x v="29"/>
    </i>
    <i>
      <x v="57"/>
    </i>
    <i>
      <x v="72"/>
    </i>
    <i>
      <x v="79"/>
    </i>
    <i>
      <x v="74"/>
    </i>
    <i>
      <x v="38"/>
    </i>
    <i>
      <x v="50"/>
    </i>
    <i>
      <x v="58"/>
    </i>
    <i>
      <x v="85"/>
    </i>
    <i>
      <x v="46"/>
    </i>
    <i>
      <x v="77"/>
    </i>
    <i>
      <x v="43"/>
    </i>
    <i>
      <x v="13"/>
    </i>
    <i>
      <x v="52"/>
    </i>
    <i>
      <x v="31"/>
    </i>
    <i>
      <x v="23"/>
    </i>
    <i>
      <x v="37"/>
    </i>
    <i>
      <x v="30"/>
    </i>
    <i>
      <x v="71"/>
    </i>
    <i>
      <x v="73"/>
    </i>
    <i>
      <x v="95"/>
    </i>
    <i>
      <x v="84"/>
    </i>
    <i>
      <x v="89"/>
    </i>
    <i>
      <x v="63"/>
    </i>
    <i>
      <x v="39"/>
    </i>
    <i>
      <x v="64"/>
    </i>
    <i>
      <x v="56"/>
    </i>
    <i>
      <x v="54"/>
    </i>
    <i>
      <x v="10"/>
    </i>
    <i>
      <x v="68"/>
    </i>
    <i>
      <x v="7"/>
    </i>
    <i>
      <x v="25"/>
    </i>
    <i>
      <x v="78"/>
    </i>
    <i>
      <x v="86"/>
    </i>
    <i>
      <x v="34"/>
    </i>
    <i>
      <x v="76"/>
    </i>
    <i>
      <x v="53"/>
    </i>
    <i>
      <x v="17"/>
    </i>
    <i>
      <x v="42"/>
    </i>
    <i>
      <x v="27"/>
    </i>
    <i>
      <x v="8"/>
    </i>
    <i>
      <x v="12"/>
    </i>
    <i>
      <x v="28"/>
    </i>
    <i>
      <x v="65"/>
    </i>
    <i t="grand">
      <x/>
    </i>
  </rowItems>
  <colItems count="1">
    <i/>
  </colItems>
  <dataFields count="1">
    <dataField name="Stock levels" fld="7" baseField="0" baseItem="0" numFmtId="1"/>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74DE7A-D0F8-4CCE-8E66-25E4C57C7CD7}"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1:C5" firstHeaderRow="0" firstDataRow="1" firstDataCol="1"/>
  <pivotFields count="25">
    <pivotField axis="axisRow" showAll="0">
      <items count="4">
        <item x="2"/>
        <item x="0"/>
        <item x="1"/>
        <item t="default"/>
      </items>
    </pivotField>
    <pivotField showAll="0"/>
    <pivotField dataField="1" numFmtId="166" showAll="0"/>
    <pivotField numFmtId="1" showAll="0"/>
    <pivotField numFmtId="1" showAll="0"/>
    <pivotField dataField="1"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showAll="0"/>
    <pivotField numFmtId="166" showAll="0"/>
    <pivotField numFmtId="1" showAll="0"/>
    <pivotField showAll="0"/>
    <pivotField showAll="0"/>
    <pivotField numFmtId="166" showAll="0"/>
  </pivotFields>
  <rowFields count="1">
    <field x="0"/>
  </rowFields>
  <rowItems count="4">
    <i>
      <x/>
    </i>
    <i>
      <x v="1"/>
    </i>
    <i>
      <x v="2"/>
    </i>
    <i t="grand">
      <x/>
    </i>
  </rowItems>
  <colFields count="1">
    <field x="-2"/>
  </colFields>
  <colItems count="2">
    <i>
      <x/>
    </i>
    <i i="1">
      <x v="1"/>
    </i>
  </colItems>
  <dataFields count="2">
    <dataField name="Average Product Price" fld="2" subtotal="average" baseField="0" baseItem="0" numFmtId="166"/>
    <dataField name="Total Revenue" fld="5"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BD423D-D242-4140-85AA-0E35A2B801BC}"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26:B30" firstHeaderRow="1" firstDataRow="1" firstDataCol="1"/>
  <pivotFields count="25">
    <pivotField axis="axisRow" showAll="0">
      <items count="4">
        <item x="2"/>
        <item x="0"/>
        <item x="1"/>
        <item t="default"/>
      </items>
    </pivotField>
    <pivotField showAll="0"/>
    <pivotField numFmtId="166" showAll="0"/>
    <pivotField numFmtId="1" showAll="0"/>
    <pivotField numFmtId="1" showAll="0"/>
    <pivotField dataField="1" numFmtId="166" showAll="0"/>
    <pivotField showAll="0"/>
    <pivotField numFmtId="1" showAll="0"/>
    <pivotField numFmtId="1" showAll="0"/>
    <pivotField showAll="0"/>
    <pivotField showAll="0"/>
    <pivotField showAll="0">
      <items count="6">
        <item x="3"/>
        <item x="4"/>
        <item x="2"/>
        <item x="1"/>
        <item x="0"/>
        <item t="default"/>
      </items>
    </pivotField>
    <pivotField numFmtId="1" showAll="0"/>
    <pivotField showAll="0"/>
    <pivotField numFmtId="166" showAll="0"/>
    <pivotField showAll="0"/>
    <pivotField numFmtId="2" showAll="0"/>
    <pivotField numFmtId="10" showAll="0"/>
    <pivotField numFmtId="1" showAll="0"/>
    <pivotField showAll="0"/>
    <pivotField numFmtId="166" showAll="0"/>
    <pivotField numFmtId="1" showAll="0"/>
    <pivotField showAll="0"/>
    <pivotField showAll="0"/>
    <pivotField numFmtId="166" showAll="0"/>
  </pivotFields>
  <rowFields count="1">
    <field x="0"/>
  </rowFields>
  <rowItems count="4">
    <i>
      <x/>
    </i>
    <i>
      <x v="1"/>
    </i>
    <i>
      <x v="2"/>
    </i>
    <i t="grand">
      <x/>
    </i>
  </rowItems>
  <colItems count="1">
    <i/>
  </colItems>
  <dataFields count="1">
    <dataField name="Total Revenue" fld="5" showDataAs="percentOfTotal" baseField="0" baseItem="0" numFmtId="10"/>
  </dataFields>
  <chartFormats count="9">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245794-5E60-4A2B-88D9-459471CAFCCA}" autoFormatId="16" applyNumberFormats="0" applyBorderFormats="0" applyFontFormats="0" applyPatternFormats="0" applyAlignmentFormats="0" applyWidthHeightFormats="0">
  <queryTableRefresh nextId="32">
    <queryTableFields count="25">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Order Quantities" tableColumnId="9"/>
      <queryTableField id="25" name="Logistics Lead Time (Days)" tableColumnId="25"/>
      <queryTableField id="11" name="Supplier_Name" tableColumnId="11"/>
      <queryTableField id="12" name="Location" tableColumnId="12"/>
      <queryTableField id="13" name="Production volumes" tableColumnId="13"/>
      <queryTableField id="26" name="Manufacturing lead Time (days)" tableColumnId="26"/>
      <queryTableField id="15" name="Manufacturing costs" tableColumnId="15"/>
      <queryTableField id="16" name="Inspection results" tableColumnId="16"/>
      <queryTableField id="17" name="Defect rates" tableColumnId="17"/>
      <queryTableField id="31" dataBound="0" tableColumnId="28"/>
      <queryTableField id="18" name="Shipping times" tableColumnId="18"/>
      <queryTableField id="19" name="Shipping carriers" tableColumnId="19"/>
      <queryTableField id="20" name="Shipping costs" tableColumnId="20"/>
      <queryTableField id="27" name="Supplier Lead time (Days)" tableColumnId="27"/>
      <queryTableField id="22" name="Transportation modes" tableColumnId="22"/>
      <queryTableField id="23" name="Routes" tableColumnId="23"/>
      <queryTableField id="24" name="Cost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24A6022-CBE8-487B-9001-3FD6A4A6599D}" sourceName="Product type">
  <pivotTables>
    <pivotTable tabId="5" name="PivotTable2"/>
    <pivotTable tabId="5" name="PivotTable15"/>
    <pivotTable tabId="5" name="PivotTable16"/>
    <pivotTable tabId="5" name="PivotTable17"/>
    <pivotTable tabId="5" name="PivotTable18"/>
    <pivotTable tabId="5" name="PivotTable19"/>
    <pivotTable tabId="5" name="PivotTable21"/>
    <pivotTable tabId="5" name="PivotTable22"/>
  </pivotTables>
  <data>
    <tabular pivotCacheId="92955561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53CDDF2-9D21-40FB-AB4E-38098386A136}" sourceName="Location">
  <pivotTables>
    <pivotTable tabId="5" name="PivotTable15"/>
  </pivotTables>
  <data>
    <tabular pivotCacheId="929555615">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EC1FBE48-B683-4EA6-8B60-2BB766998AFD}" cache="Slicer_Product_type" caption="Product type" style="SlicerStyleDark4" rowHeight="251883"/>
  <slicer name="Location" xr10:uid="{8F91741D-DBE2-47FA-8A4D-220C77D0076F}" cache="Slicer_Location" caption="Location" style="SlicerStyleDark4"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3AE62B-909E-47ED-A238-EC8FB2B45CDE}" name="Table3" displayName="Table3" ref="A1:X101" totalsRowShown="0" headerRowDxfId="78" dataDxfId="77" tableBorderDxfId="76">
  <autoFilter ref="A1:X101" xr:uid="{793AE62B-909E-47ED-A238-EC8FB2B45CDE}"/>
  <tableColumns count="24">
    <tableColumn id="1" xr3:uid="{1FB71C01-9179-4963-94DB-A0225ECD9466}" name="Product type" dataDxfId="75"/>
    <tableColumn id="2" xr3:uid="{F3C5AFDF-F9F8-422C-966C-C9495B7BC906}" name="SKU" dataDxfId="74"/>
    <tableColumn id="3" xr3:uid="{CE480E19-FA01-4756-9A07-4FFE15ABC676}" name="Price" dataDxfId="73"/>
    <tableColumn id="4" xr3:uid="{A0E92952-B858-4B11-9306-4D08AFC4AF8E}" name="Availability" dataDxfId="72"/>
    <tableColumn id="5" xr3:uid="{083CD1EF-2F83-4B57-8BA5-8F22030DB8B0}" name="Number of products sold" dataDxfId="71"/>
    <tableColumn id="6" xr3:uid="{C3FDE036-9501-4857-BB8F-F1067DD159A9}" name="Revenue generated" dataDxfId="70"/>
    <tableColumn id="7" xr3:uid="{8AFC326E-C893-435D-8143-9D361DF75729}" name="Customer demographics" dataDxfId="69"/>
    <tableColumn id="8" xr3:uid="{39977DBE-F058-49A9-9A6C-5FF3C66451C9}" name="Stock levels" dataDxfId="68"/>
    <tableColumn id="9" xr3:uid="{0ACE7C07-4223-4051-A94F-530F4A7E3D95}" name="Order Quantities" dataDxfId="67"/>
    <tableColumn id="10" xr3:uid="{056B2D03-02DD-40AF-9A2A-417B7FFAA052}" name="Lead Times (Days)" dataDxfId="66"/>
    <tableColumn id="11" xr3:uid="{10536903-6A85-462F-8AC0-EC1000B5E3A5}" name="Supplier_Name" dataDxfId="65"/>
    <tableColumn id="12" xr3:uid="{ADB2D155-3B7C-4185-9913-979BDFA250CB}" name="Shipping times" dataDxfId="64"/>
    <tableColumn id="13" xr3:uid="{48FC06A4-57C0-4959-8A1A-C66FE73F30B7}" name="Shipping carriers" dataDxfId="63"/>
    <tableColumn id="14" xr3:uid="{0B0A8A57-C201-4242-876E-EF41ACE1CB3D}" name="Shipping costs" dataDxfId="62"/>
    <tableColumn id="15" xr3:uid="{6E32B6AE-E569-4F8D-9B77-115770CCA79F}" name="Location" dataDxfId="61"/>
    <tableColumn id="16" xr3:uid="{2FF60C20-68F1-4128-956A-AAECF93476A1}" name="Lead time" dataDxfId="60"/>
    <tableColumn id="17" xr3:uid="{CD860B6F-9BA0-4750-9A34-E48647F0E417}" name="Production volumes" dataDxfId="59"/>
    <tableColumn id="18" xr3:uid="{BE254AA1-7480-44DC-8031-170962267C35}" name="Manufacturing lead time" dataDxfId="58"/>
    <tableColumn id="19" xr3:uid="{AB3FE14E-1AC1-4CF8-88D4-47507C60015B}" name="Manufacturing costs" dataDxfId="57"/>
    <tableColumn id="20" xr3:uid="{306F76EA-007A-44AD-B9B4-E3F1F7385807}" name="Inspection results" dataDxfId="56"/>
    <tableColumn id="21" xr3:uid="{DC1E62BD-1E51-4800-A552-04C3E42B1EF0}" name="Defect rates" dataDxfId="55"/>
    <tableColumn id="22" xr3:uid="{3A8895C7-DFEA-4D4C-B7EA-CA88BA9726C9}" name="Transportation modes" dataDxfId="54"/>
    <tableColumn id="23" xr3:uid="{32AA2B3E-9C58-4924-A27D-B0877A21B0E9}" name="Routes" dataDxfId="53"/>
    <tableColumn id="24" xr3:uid="{60A9D5E2-3E24-417F-99B3-3CC3CA14E26A}" name="Costs"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13D053-F017-4F90-9E18-D9038ABDA9B2}" name="Glow" displayName="Glow" ref="A1:Y102" tableType="queryTable" totalsRowCount="1">
  <autoFilter ref="A1:Y101" xr:uid="{4013D053-F017-4F90-9E18-D9038ABDA9B2}"/>
  <tableColumns count="25">
    <tableColumn id="1" xr3:uid="{F3E24311-B327-4DBB-8D02-EB3A107883FB}" uniqueName="1" name="Product type" queryTableFieldId="1" dataDxfId="51" totalsRowDxfId="50"/>
    <tableColumn id="2" xr3:uid="{F123506A-9224-49C1-AFD5-319B855A60C6}" uniqueName="2" name="SKU" queryTableFieldId="2" dataDxfId="49" totalsRowDxfId="48"/>
    <tableColumn id="3" xr3:uid="{E30460DF-6563-47A3-89F5-1FA053685ABC}" uniqueName="3" name="Price" queryTableFieldId="3" dataDxfId="47" totalsRowDxfId="46"/>
    <tableColumn id="4" xr3:uid="{59DAC220-52E4-4691-ABDB-457508E199F4}" uniqueName="4" name="Supplier Availability" queryTableFieldId="4" dataDxfId="45" totalsRowDxfId="44"/>
    <tableColumn id="5" xr3:uid="{8D94EA10-4D86-4BC3-BF78-B49FB64DCFA4}" uniqueName="5" name="Number of products sold" totalsRowFunction="custom" queryTableFieldId="5" dataDxfId="43" totalsRowDxfId="42">
      <totalsRowFormula>SUM(Glow[Number of products sold])</totalsRowFormula>
    </tableColumn>
    <tableColumn id="6" xr3:uid="{4C8E6692-CF1F-4A86-BF57-E125A0BDDE29}" uniqueName="6" name="Revenue generated" queryTableFieldId="6" dataDxfId="41" totalsRowDxfId="40"/>
    <tableColumn id="7" xr3:uid="{E00C0D50-0D63-4E70-AEF1-E9263FD5AEE6}" uniqueName="7" name="Customer demographics" queryTableFieldId="7" dataDxfId="39" totalsRowDxfId="38"/>
    <tableColumn id="8" xr3:uid="{510C2C5A-5F35-4CB7-9844-10EA9E3A3A42}" uniqueName="8" name="Glow Stock levels" queryTableFieldId="8" dataDxfId="37" totalsRowDxfId="36"/>
    <tableColumn id="9" xr3:uid="{633E7D23-840D-448C-99D6-ABCD43D91DC3}" uniqueName="9" name="Order Quantities" queryTableFieldId="9" dataDxfId="35" totalsRowDxfId="34"/>
    <tableColumn id="25" xr3:uid="{1EC230B3-63E7-49A5-B2DD-8936ABEF3AE8}" uniqueName="25" name="Product Lead Time (Days)" queryTableFieldId="25"/>
    <tableColumn id="11" xr3:uid="{63BDCE1F-59C1-4091-A8CB-C8D5978D472B}" uniqueName="11" name="Supplier_Name" queryTableFieldId="11" dataDxfId="33" totalsRowDxfId="32"/>
    <tableColumn id="12" xr3:uid="{AE1E4F1C-6003-4BBF-BBDE-57AF892D97D7}" uniqueName="12" name="Location" queryTableFieldId="12" dataDxfId="31" totalsRowDxfId="30"/>
    <tableColumn id="13" xr3:uid="{24EB57CD-D2A9-4401-B883-1E9CE5CE0ABD}" uniqueName="13" name="Production volumes" queryTableFieldId="13" dataDxfId="29" totalsRowDxfId="28"/>
    <tableColumn id="26" xr3:uid="{F1CA3CB4-14FD-4970-ADC1-98934B78B55F}" uniqueName="26" name="Manufacturing lead Time (days)" queryTableFieldId="26"/>
    <tableColumn id="15" xr3:uid="{86888D9B-DE29-40A5-AC3E-EE909E9CB1DE}" uniqueName="15" name="Manufacturing costs" queryTableFieldId="15" dataDxfId="27" totalsRowDxfId="26"/>
    <tableColumn id="16" xr3:uid="{176E9084-9EB8-41E6-8FEB-B729F64F408D}" uniqueName="16" name="Inspection results" queryTableFieldId="16" dataDxfId="25" totalsRowDxfId="24"/>
    <tableColumn id="17" xr3:uid="{8F42D29C-0E59-4654-9357-86078C545D63}" uniqueName="17" name="Defect rates" queryTableFieldId="17" dataDxfId="23" totalsRowDxfId="22"/>
    <tableColumn id="28" xr3:uid="{290E9E2E-FD91-4095-A97B-A4564FFAF3B6}" uniqueName="28" name="Defect Rate (%)" queryTableFieldId="31" dataDxfId="21" totalsRowDxfId="20">
      <calculatedColumnFormula>Glow[[#This Row],[Defect rates]]/100</calculatedColumnFormula>
    </tableColumn>
    <tableColumn id="18" xr3:uid="{9642C3A2-E4B2-44AA-BA73-63583A4D46F3}" uniqueName="18" name="Shipping times" queryTableFieldId="18" dataDxfId="19" totalsRowDxfId="18"/>
    <tableColumn id="19" xr3:uid="{B688ADD2-E772-4AE1-96A2-9145D547646B}" uniqueName="19" name="Shipping carriers" queryTableFieldId="19" dataDxfId="17" totalsRowDxfId="16"/>
    <tableColumn id="20" xr3:uid="{C6EB2EDA-2680-44CD-B2AC-FBF484AAFE30}" uniqueName="20" name="Shipping costs" queryTableFieldId="20" dataDxfId="15" totalsRowDxfId="14"/>
    <tableColumn id="27" xr3:uid="{ADABDC6C-F037-4934-A771-9034BA80ECDE}" uniqueName="27" name="Supplier Lead time (Days)" queryTableFieldId="27" dataDxfId="13" totalsRowDxfId="12"/>
    <tableColumn id="22" xr3:uid="{AC05D7B5-5872-4616-8E5A-0BA569D12A3D}" uniqueName="22" name="Transportation modes" queryTableFieldId="22" dataDxfId="11" totalsRowDxfId="10"/>
    <tableColumn id="23" xr3:uid="{F00C0775-D9A4-4007-A53B-040ADC1A7076}" uniqueName="23" name="Routes" queryTableFieldId="23" dataDxfId="9" totalsRowDxfId="8"/>
    <tableColumn id="24" xr3:uid="{C275915F-084E-480C-90AB-9503974594BA}" uniqueName="24" name="Costs" queryTableFieldId="24" dataDxfId="7" totalsRow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FFD53-29B5-4316-B2AA-C0D4C508FA6E}">
  <dimension ref="A1:X101"/>
  <sheetViews>
    <sheetView workbookViewId="0">
      <selection sqref="A1:X101"/>
    </sheetView>
  </sheetViews>
  <sheetFormatPr defaultRowHeight="14.5" x14ac:dyDescent="0.35"/>
  <cols>
    <col min="1" max="1" width="13.36328125" style="1" customWidth="1"/>
    <col min="2" max="2" width="10.7265625" style="1" customWidth="1"/>
    <col min="3" max="3" width="14.54296875" style="2" customWidth="1"/>
    <col min="4" max="4" width="12.1796875" style="4" customWidth="1"/>
    <col min="5" max="5" width="23.26953125" style="4" customWidth="1"/>
    <col min="6" max="6" width="18.81640625" style="5" customWidth="1"/>
    <col min="7" max="7" width="23.26953125" style="1" customWidth="1"/>
    <col min="8" max="8" width="12.81640625" style="4" customWidth="1"/>
    <col min="9" max="9" width="17.54296875" style="4" customWidth="1"/>
    <col min="10" max="11" width="18.54296875" customWidth="1"/>
    <col min="12" max="12" width="15.36328125" style="4" customWidth="1"/>
    <col min="13" max="13" width="17" customWidth="1"/>
    <col min="14" max="14" width="15.08984375" customWidth="1"/>
    <col min="15" max="15" width="10" customWidth="1"/>
    <col min="16" max="16" width="11" customWidth="1"/>
    <col min="17" max="17" width="19.453125" customWidth="1"/>
    <col min="18" max="18" width="23.1796875" customWidth="1"/>
    <col min="19" max="19" width="19.81640625" customWidth="1"/>
    <col min="20" max="20" width="17.81640625" customWidth="1"/>
    <col min="21" max="21" width="12.90625" customWidth="1"/>
    <col min="22" max="22" width="21" customWidth="1"/>
    <col min="23" max="23" width="8.6328125" customWidth="1"/>
    <col min="24" max="24" width="11.81640625" bestFit="1" customWidth="1"/>
  </cols>
  <sheetData>
    <row r="1" spans="1:24" x14ac:dyDescent="0.35">
      <c r="A1" s="16" t="s">
        <v>0</v>
      </c>
      <c r="B1" s="16" t="s">
        <v>1</v>
      </c>
      <c r="C1" s="17" t="s">
        <v>2</v>
      </c>
      <c r="D1" s="18" t="s">
        <v>3</v>
      </c>
      <c r="E1" s="18" t="s">
        <v>4</v>
      </c>
      <c r="F1" s="19" t="s">
        <v>5</v>
      </c>
      <c r="G1" s="16" t="s">
        <v>6</v>
      </c>
      <c r="H1" s="18" t="s">
        <v>7</v>
      </c>
      <c r="I1" s="18" t="s">
        <v>155</v>
      </c>
      <c r="J1" s="18" t="s">
        <v>154</v>
      </c>
      <c r="K1" s="18" t="s">
        <v>156</v>
      </c>
      <c r="L1" s="18" t="s">
        <v>10</v>
      </c>
      <c r="M1" s="20" t="s">
        <v>11</v>
      </c>
      <c r="N1" s="20" t="s">
        <v>12</v>
      </c>
      <c r="O1" s="20" t="s">
        <v>14</v>
      </c>
      <c r="P1" s="20" t="s">
        <v>15</v>
      </c>
      <c r="Q1" s="20" t="s">
        <v>16</v>
      </c>
      <c r="R1" s="20" t="s">
        <v>17</v>
      </c>
      <c r="S1" s="20" t="s">
        <v>18</v>
      </c>
      <c r="T1" s="20" t="s">
        <v>19</v>
      </c>
      <c r="U1" s="20" t="s">
        <v>20</v>
      </c>
      <c r="V1" s="20" t="s">
        <v>21</v>
      </c>
      <c r="W1" s="20" t="s">
        <v>22</v>
      </c>
      <c r="X1" s="20" t="s">
        <v>23</v>
      </c>
    </row>
    <row r="2" spans="1:24" x14ac:dyDescent="0.35">
      <c r="A2" s="6" t="s">
        <v>24</v>
      </c>
      <c r="B2" s="6" t="s">
        <v>25</v>
      </c>
      <c r="C2" s="7">
        <v>69.808005542115694</v>
      </c>
      <c r="D2" s="8">
        <v>55</v>
      </c>
      <c r="E2" s="8">
        <v>802</v>
      </c>
      <c r="F2" s="9">
        <v>8661.9967923923796</v>
      </c>
      <c r="G2" s="6" t="s">
        <v>26</v>
      </c>
      <c r="H2" s="8">
        <v>58</v>
      </c>
      <c r="I2" s="8">
        <v>96</v>
      </c>
      <c r="J2" s="8">
        <v>7</v>
      </c>
      <c r="K2" s="10" t="s">
        <v>28</v>
      </c>
      <c r="L2" s="8">
        <v>4</v>
      </c>
      <c r="M2" s="10" t="s">
        <v>27</v>
      </c>
      <c r="N2" s="10">
        <v>2.9565721394308002</v>
      </c>
      <c r="O2" s="10" t="s">
        <v>29</v>
      </c>
      <c r="P2" s="10">
        <v>29</v>
      </c>
      <c r="Q2" s="10">
        <v>215</v>
      </c>
      <c r="R2" s="10">
        <v>29</v>
      </c>
      <c r="S2" s="10">
        <v>46.279879240508301</v>
      </c>
      <c r="T2" s="10" t="s">
        <v>30</v>
      </c>
      <c r="U2" s="10">
        <v>0.226410360849925</v>
      </c>
      <c r="V2" s="10" t="s">
        <v>31</v>
      </c>
      <c r="W2" s="10" t="s">
        <v>32</v>
      </c>
      <c r="X2" s="10">
        <v>187.75207545920301</v>
      </c>
    </row>
    <row r="3" spans="1:24" x14ac:dyDescent="0.35">
      <c r="A3" s="11" t="s">
        <v>33</v>
      </c>
      <c r="B3" s="11" t="s">
        <v>34</v>
      </c>
      <c r="C3" s="12">
        <v>14.8435232750843</v>
      </c>
      <c r="D3" s="13">
        <v>95</v>
      </c>
      <c r="E3" s="13">
        <v>736</v>
      </c>
      <c r="F3" s="14">
        <v>7460.9000654458396</v>
      </c>
      <c r="G3" s="11" t="s">
        <v>35</v>
      </c>
      <c r="H3" s="13">
        <v>53</v>
      </c>
      <c r="I3" s="13">
        <v>37</v>
      </c>
      <c r="J3" s="13">
        <v>30</v>
      </c>
      <c r="K3" s="15" t="s">
        <v>28</v>
      </c>
      <c r="L3" s="13">
        <v>2</v>
      </c>
      <c r="M3" s="15" t="s">
        <v>36</v>
      </c>
      <c r="N3" s="15">
        <v>9.7165747714313095</v>
      </c>
      <c r="O3" s="15" t="s">
        <v>29</v>
      </c>
      <c r="P3" s="15">
        <v>23</v>
      </c>
      <c r="Q3" s="15">
        <v>517</v>
      </c>
      <c r="R3" s="15">
        <v>30</v>
      </c>
      <c r="S3" s="15">
        <v>33.616768953730002</v>
      </c>
      <c r="T3" s="15" t="s">
        <v>30</v>
      </c>
      <c r="U3" s="15">
        <v>4.8540680263886999</v>
      </c>
      <c r="V3" s="15" t="s">
        <v>31</v>
      </c>
      <c r="W3" s="15" t="s">
        <v>32</v>
      </c>
      <c r="X3" s="15">
        <v>503.06557914966902</v>
      </c>
    </row>
    <row r="4" spans="1:24" x14ac:dyDescent="0.35">
      <c r="A4" s="6" t="s">
        <v>24</v>
      </c>
      <c r="B4" s="6" t="s">
        <v>37</v>
      </c>
      <c r="C4" s="7">
        <v>11.319683293090501</v>
      </c>
      <c r="D4" s="8">
        <v>34</v>
      </c>
      <c r="E4" s="8">
        <v>8</v>
      </c>
      <c r="F4" s="9">
        <v>9577.7496258687297</v>
      </c>
      <c r="G4" s="6" t="s">
        <v>38</v>
      </c>
      <c r="H4" s="8">
        <v>1</v>
      </c>
      <c r="I4" s="8">
        <v>88</v>
      </c>
      <c r="J4" s="8">
        <v>10</v>
      </c>
      <c r="K4" s="10" t="s">
        <v>39</v>
      </c>
      <c r="L4" s="8">
        <v>2</v>
      </c>
      <c r="M4" s="10" t="s">
        <v>27</v>
      </c>
      <c r="N4" s="10">
        <v>8.0544792617321495</v>
      </c>
      <c r="O4" s="10" t="s">
        <v>29</v>
      </c>
      <c r="P4" s="10">
        <v>12</v>
      </c>
      <c r="Q4" s="10">
        <v>971</v>
      </c>
      <c r="R4" s="10">
        <v>27</v>
      </c>
      <c r="S4" s="10">
        <v>30.6880193482842</v>
      </c>
      <c r="T4" s="10" t="s">
        <v>30</v>
      </c>
      <c r="U4" s="10">
        <v>4.5805926191992201</v>
      </c>
      <c r="V4" s="10" t="s">
        <v>40</v>
      </c>
      <c r="W4" s="10" t="s">
        <v>41</v>
      </c>
      <c r="X4" s="10">
        <v>141.920281771519</v>
      </c>
    </row>
    <row r="5" spans="1:24" x14ac:dyDescent="0.35">
      <c r="A5" s="11" t="s">
        <v>33</v>
      </c>
      <c r="B5" s="11" t="s">
        <v>42</v>
      </c>
      <c r="C5" s="12">
        <v>61.1633430164377</v>
      </c>
      <c r="D5" s="13">
        <v>68</v>
      </c>
      <c r="E5" s="13">
        <v>83</v>
      </c>
      <c r="F5" s="14">
        <v>7766.8364256852301</v>
      </c>
      <c r="G5" s="11" t="s">
        <v>26</v>
      </c>
      <c r="H5" s="13">
        <v>23</v>
      </c>
      <c r="I5" s="13">
        <v>59</v>
      </c>
      <c r="J5" s="13">
        <v>13</v>
      </c>
      <c r="K5" s="15" t="s">
        <v>44</v>
      </c>
      <c r="L5" s="13">
        <v>6</v>
      </c>
      <c r="M5" s="15" t="s">
        <v>43</v>
      </c>
      <c r="N5" s="15">
        <v>1.7295685635434199</v>
      </c>
      <c r="O5" s="15" t="s">
        <v>45</v>
      </c>
      <c r="P5" s="15">
        <v>24</v>
      </c>
      <c r="Q5" s="15">
        <v>937</v>
      </c>
      <c r="R5" s="15">
        <v>18</v>
      </c>
      <c r="S5" s="15">
        <v>35.624741397125</v>
      </c>
      <c r="T5" s="15" t="s">
        <v>46</v>
      </c>
      <c r="U5" s="15">
        <v>4.7466486206477496</v>
      </c>
      <c r="V5" s="15" t="s">
        <v>47</v>
      </c>
      <c r="W5" s="15" t="s">
        <v>48</v>
      </c>
      <c r="X5" s="15">
        <v>254.776159219286</v>
      </c>
    </row>
    <row r="6" spans="1:24" x14ac:dyDescent="0.35">
      <c r="A6" s="6" t="s">
        <v>33</v>
      </c>
      <c r="B6" s="6" t="s">
        <v>49</v>
      </c>
      <c r="C6" s="7">
        <v>4.8054960363458896</v>
      </c>
      <c r="D6" s="8">
        <v>26</v>
      </c>
      <c r="E6" s="8">
        <v>871</v>
      </c>
      <c r="F6" s="9">
        <v>2686.50515156744</v>
      </c>
      <c r="G6" s="6" t="s">
        <v>26</v>
      </c>
      <c r="H6" s="8">
        <v>5</v>
      </c>
      <c r="I6" s="8">
        <v>56</v>
      </c>
      <c r="J6" s="8">
        <v>3</v>
      </c>
      <c r="K6" s="10" t="s">
        <v>39</v>
      </c>
      <c r="L6" s="8">
        <v>8</v>
      </c>
      <c r="M6" s="10" t="s">
        <v>36</v>
      </c>
      <c r="N6" s="10">
        <v>3.8905479158706702</v>
      </c>
      <c r="O6" s="10" t="s">
        <v>50</v>
      </c>
      <c r="P6" s="10">
        <v>5</v>
      </c>
      <c r="Q6" s="10">
        <v>414</v>
      </c>
      <c r="R6" s="10">
        <v>3</v>
      </c>
      <c r="S6" s="10">
        <v>92.065160598712794</v>
      </c>
      <c r="T6" s="10" t="s">
        <v>46</v>
      </c>
      <c r="U6" s="10">
        <v>3.1455795228330001</v>
      </c>
      <c r="V6" s="10" t="s">
        <v>40</v>
      </c>
      <c r="W6" s="10" t="s">
        <v>48</v>
      </c>
      <c r="X6" s="10">
        <v>923.44063171192204</v>
      </c>
    </row>
    <row r="7" spans="1:24" x14ac:dyDescent="0.35">
      <c r="A7" s="11" t="s">
        <v>24</v>
      </c>
      <c r="B7" s="11" t="s">
        <v>51</v>
      </c>
      <c r="C7" s="12">
        <v>1.6999760138659299</v>
      </c>
      <c r="D7" s="13">
        <v>87</v>
      </c>
      <c r="E7" s="13">
        <v>147</v>
      </c>
      <c r="F7" s="14">
        <v>2828.3487459757498</v>
      </c>
      <c r="G7" s="11" t="s">
        <v>26</v>
      </c>
      <c r="H7" s="13">
        <v>90</v>
      </c>
      <c r="I7" s="13">
        <v>66</v>
      </c>
      <c r="J7" s="13">
        <v>27</v>
      </c>
      <c r="K7" s="15" t="s">
        <v>52</v>
      </c>
      <c r="L7" s="13">
        <v>3</v>
      </c>
      <c r="M7" s="15" t="s">
        <v>27</v>
      </c>
      <c r="N7" s="15">
        <v>4.4440988643822896</v>
      </c>
      <c r="O7" s="15" t="s">
        <v>53</v>
      </c>
      <c r="P7" s="15">
        <v>10</v>
      </c>
      <c r="Q7" s="15">
        <v>104</v>
      </c>
      <c r="R7" s="15">
        <v>17</v>
      </c>
      <c r="S7" s="15">
        <v>56.766475557431797</v>
      </c>
      <c r="T7" s="15" t="s">
        <v>46</v>
      </c>
      <c r="U7" s="15">
        <v>2.7791935115711599</v>
      </c>
      <c r="V7" s="15" t="s">
        <v>31</v>
      </c>
      <c r="W7" s="15" t="s">
        <v>48</v>
      </c>
      <c r="X7" s="15">
        <v>235.461236735537</v>
      </c>
    </row>
    <row r="8" spans="1:24" x14ac:dyDescent="0.35">
      <c r="A8" s="6" t="s">
        <v>33</v>
      </c>
      <c r="B8" s="6" t="s">
        <v>54</v>
      </c>
      <c r="C8" s="7">
        <v>4.0783328631079403</v>
      </c>
      <c r="D8" s="8">
        <v>48</v>
      </c>
      <c r="E8" s="8">
        <v>65</v>
      </c>
      <c r="F8" s="9">
        <v>7823.4765595317303</v>
      </c>
      <c r="G8" s="6" t="s">
        <v>55</v>
      </c>
      <c r="H8" s="8">
        <v>11</v>
      </c>
      <c r="I8" s="8">
        <v>58</v>
      </c>
      <c r="J8" s="8">
        <v>15</v>
      </c>
      <c r="K8" s="10" t="s">
        <v>28</v>
      </c>
      <c r="L8" s="8">
        <v>8</v>
      </c>
      <c r="M8" s="10" t="s">
        <v>43</v>
      </c>
      <c r="N8" s="10">
        <v>3.8807633029519999</v>
      </c>
      <c r="O8" s="10" t="s">
        <v>45</v>
      </c>
      <c r="P8" s="10">
        <v>14</v>
      </c>
      <c r="Q8" s="10">
        <v>314</v>
      </c>
      <c r="R8" s="10">
        <v>24</v>
      </c>
      <c r="S8" s="10">
        <v>1.0850685695870601</v>
      </c>
      <c r="T8" s="10" t="s">
        <v>30</v>
      </c>
      <c r="U8" s="10">
        <v>1.0009106193041299</v>
      </c>
      <c r="V8" s="10" t="s">
        <v>56</v>
      </c>
      <c r="W8" s="10" t="s">
        <v>48</v>
      </c>
      <c r="X8" s="10">
        <v>134.36909686103101</v>
      </c>
    </row>
    <row r="9" spans="1:24" x14ac:dyDescent="0.35">
      <c r="A9" s="11" t="s">
        <v>57</v>
      </c>
      <c r="B9" s="11" t="s">
        <v>58</v>
      </c>
      <c r="C9" s="12">
        <v>42.958384382459997</v>
      </c>
      <c r="D9" s="13">
        <v>59</v>
      </c>
      <c r="E9" s="13">
        <v>426</v>
      </c>
      <c r="F9" s="14">
        <v>8496.1038130898305</v>
      </c>
      <c r="G9" s="11" t="s">
        <v>35</v>
      </c>
      <c r="H9" s="13">
        <v>93</v>
      </c>
      <c r="I9" s="13">
        <v>11</v>
      </c>
      <c r="J9" s="13">
        <v>17</v>
      </c>
      <c r="K9" s="15" t="s">
        <v>52</v>
      </c>
      <c r="L9" s="13">
        <v>1</v>
      </c>
      <c r="M9" s="15" t="s">
        <v>27</v>
      </c>
      <c r="N9" s="15">
        <v>2.3483387844177801</v>
      </c>
      <c r="O9" s="15" t="s">
        <v>53</v>
      </c>
      <c r="P9" s="15">
        <v>22</v>
      </c>
      <c r="Q9" s="15">
        <v>564</v>
      </c>
      <c r="R9" s="15">
        <v>1</v>
      </c>
      <c r="S9" s="15">
        <v>99.466108603599096</v>
      </c>
      <c r="T9" s="15" t="s">
        <v>46</v>
      </c>
      <c r="U9" s="15">
        <v>0.39817718685065001</v>
      </c>
      <c r="V9" s="15" t="s">
        <v>31</v>
      </c>
      <c r="W9" s="15" t="s">
        <v>41</v>
      </c>
      <c r="X9" s="15">
        <v>802.05631181755803</v>
      </c>
    </row>
    <row r="10" spans="1:24" x14ac:dyDescent="0.35">
      <c r="A10" s="6" t="s">
        <v>57</v>
      </c>
      <c r="B10" s="6" t="s">
        <v>59</v>
      </c>
      <c r="C10" s="7">
        <v>68.717596748527299</v>
      </c>
      <c r="D10" s="8">
        <v>78</v>
      </c>
      <c r="E10" s="8">
        <v>150</v>
      </c>
      <c r="F10" s="9">
        <v>7517.3632106311197</v>
      </c>
      <c r="G10" s="6" t="s">
        <v>35</v>
      </c>
      <c r="H10" s="8">
        <v>5</v>
      </c>
      <c r="I10" s="8">
        <v>15</v>
      </c>
      <c r="J10" s="8">
        <v>10</v>
      </c>
      <c r="K10" s="10" t="s">
        <v>52</v>
      </c>
      <c r="L10" s="8">
        <v>7</v>
      </c>
      <c r="M10" s="10" t="s">
        <v>43</v>
      </c>
      <c r="N10" s="10">
        <v>3.4047338570830199</v>
      </c>
      <c r="O10" s="10" t="s">
        <v>29</v>
      </c>
      <c r="P10" s="10">
        <v>13</v>
      </c>
      <c r="Q10" s="10">
        <v>769</v>
      </c>
      <c r="R10" s="10">
        <v>8</v>
      </c>
      <c r="S10" s="10">
        <v>11.423027139565599</v>
      </c>
      <c r="T10" s="10" t="s">
        <v>30</v>
      </c>
      <c r="U10" s="10">
        <v>2.7098626911099601</v>
      </c>
      <c r="V10" s="10" t="s">
        <v>56</v>
      </c>
      <c r="W10" s="10" t="s">
        <v>32</v>
      </c>
      <c r="X10" s="10">
        <v>505.55713422546398</v>
      </c>
    </row>
    <row r="11" spans="1:24" x14ac:dyDescent="0.35">
      <c r="A11" s="11" t="s">
        <v>33</v>
      </c>
      <c r="B11" s="11" t="s">
        <v>60</v>
      </c>
      <c r="C11" s="12">
        <v>64.0157329412785</v>
      </c>
      <c r="D11" s="13">
        <v>35</v>
      </c>
      <c r="E11" s="13">
        <v>980</v>
      </c>
      <c r="F11" s="14">
        <v>4971.1459875855498</v>
      </c>
      <c r="G11" s="11" t="s">
        <v>38</v>
      </c>
      <c r="H11" s="13">
        <v>14</v>
      </c>
      <c r="I11" s="13">
        <v>83</v>
      </c>
      <c r="J11" s="13">
        <v>27</v>
      </c>
      <c r="K11" s="15" t="s">
        <v>61</v>
      </c>
      <c r="L11" s="13">
        <v>1</v>
      </c>
      <c r="M11" s="15" t="s">
        <v>36</v>
      </c>
      <c r="N11" s="15">
        <v>7.1666452910482104</v>
      </c>
      <c r="O11" s="15" t="s">
        <v>62</v>
      </c>
      <c r="P11" s="15">
        <v>29</v>
      </c>
      <c r="Q11" s="15">
        <v>963</v>
      </c>
      <c r="R11" s="15">
        <v>23</v>
      </c>
      <c r="S11" s="15">
        <v>47.957601634951502</v>
      </c>
      <c r="T11" s="15" t="s">
        <v>30</v>
      </c>
      <c r="U11" s="15">
        <v>3.8446144787675798</v>
      </c>
      <c r="V11" s="15" t="s">
        <v>47</v>
      </c>
      <c r="W11" s="15" t="s">
        <v>32</v>
      </c>
      <c r="X11" s="15">
        <v>995.92946149864099</v>
      </c>
    </row>
    <row r="12" spans="1:24" x14ac:dyDescent="0.35">
      <c r="A12" s="6" t="s">
        <v>33</v>
      </c>
      <c r="B12" s="6" t="s">
        <v>63</v>
      </c>
      <c r="C12" s="7">
        <v>15.707795681912099</v>
      </c>
      <c r="D12" s="8">
        <v>11</v>
      </c>
      <c r="E12" s="8">
        <v>996</v>
      </c>
      <c r="F12" s="9">
        <v>2330.9658020919401</v>
      </c>
      <c r="G12" s="6" t="s">
        <v>26</v>
      </c>
      <c r="H12" s="8">
        <v>51</v>
      </c>
      <c r="I12" s="8">
        <v>80</v>
      </c>
      <c r="J12" s="10">
        <v>13</v>
      </c>
      <c r="K12" s="10" t="s">
        <v>44</v>
      </c>
      <c r="L12" s="8">
        <v>2</v>
      </c>
      <c r="M12" s="10" t="s">
        <v>43</v>
      </c>
      <c r="N12" s="10">
        <v>8.6732112112786108</v>
      </c>
      <c r="O12" s="10" t="s">
        <v>45</v>
      </c>
      <c r="P12" s="10">
        <v>18</v>
      </c>
      <c r="Q12" s="10">
        <v>830</v>
      </c>
      <c r="R12" s="10">
        <v>5</v>
      </c>
      <c r="S12" s="10">
        <v>96.527352785310896</v>
      </c>
      <c r="T12" s="10" t="s">
        <v>64</v>
      </c>
      <c r="U12" s="10">
        <v>1.72731392835594</v>
      </c>
      <c r="V12" s="10" t="s">
        <v>31</v>
      </c>
      <c r="W12" s="10" t="s">
        <v>32</v>
      </c>
      <c r="X12" s="10">
        <v>806.10317770292295</v>
      </c>
    </row>
    <row r="13" spans="1:24" x14ac:dyDescent="0.35">
      <c r="A13" s="11" t="s">
        <v>33</v>
      </c>
      <c r="B13" s="11" t="s">
        <v>65</v>
      </c>
      <c r="C13" s="12">
        <v>90.635459982288594</v>
      </c>
      <c r="D13" s="13">
        <v>95</v>
      </c>
      <c r="E13" s="13">
        <v>960</v>
      </c>
      <c r="F13" s="14">
        <v>6099.9441155814502</v>
      </c>
      <c r="G13" s="11" t="s">
        <v>35</v>
      </c>
      <c r="H13" s="13">
        <v>46</v>
      </c>
      <c r="I13" s="13">
        <v>60</v>
      </c>
      <c r="J13" s="15">
        <v>23</v>
      </c>
      <c r="K13" s="15" t="s">
        <v>61</v>
      </c>
      <c r="L13" s="13">
        <v>1</v>
      </c>
      <c r="M13" s="15" t="s">
        <v>36</v>
      </c>
      <c r="N13" s="15">
        <v>4.5239431243166601</v>
      </c>
      <c r="O13" s="15" t="s">
        <v>45</v>
      </c>
      <c r="P13" s="15">
        <v>28</v>
      </c>
      <c r="Q13" s="15">
        <v>362</v>
      </c>
      <c r="R13" s="15">
        <v>11</v>
      </c>
      <c r="S13" s="15">
        <v>27.5923630866636</v>
      </c>
      <c r="T13" s="15" t="s">
        <v>30</v>
      </c>
      <c r="U13" s="15">
        <v>2.1169821372994301E-2</v>
      </c>
      <c r="V13" s="15" t="s">
        <v>40</v>
      </c>
      <c r="W13" s="15" t="s">
        <v>48</v>
      </c>
      <c r="X13" s="15">
        <v>126.72303340940699</v>
      </c>
    </row>
    <row r="14" spans="1:24" x14ac:dyDescent="0.35">
      <c r="A14" s="6" t="s">
        <v>24</v>
      </c>
      <c r="B14" s="6" t="s">
        <v>66</v>
      </c>
      <c r="C14" s="7">
        <v>71.213389075359999</v>
      </c>
      <c r="D14" s="8">
        <v>41</v>
      </c>
      <c r="E14" s="8">
        <v>336</v>
      </c>
      <c r="F14" s="9">
        <v>2873.74144602144</v>
      </c>
      <c r="G14" s="6" t="s">
        <v>38</v>
      </c>
      <c r="H14" s="8">
        <v>100</v>
      </c>
      <c r="I14" s="8">
        <v>85</v>
      </c>
      <c r="J14" s="10">
        <v>30</v>
      </c>
      <c r="K14" s="10" t="s">
        <v>52</v>
      </c>
      <c r="L14" s="8">
        <v>4</v>
      </c>
      <c r="M14" s="10" t="s">
        <v>36</v>
      </c>
      <c r="N14" s="10">
        <v>1.32527401018452</v>
      </c>
      <c r="O14" s="10" t="s">
        <v>45</v>
      </c>
      <c r="P14" s="10">
        <v>3</v>
      </c>
      <c r="Q14" s="10">
        <v>563</v>
      </c>
      <c r="R14" s="10">
        <v>3</v>
      </c>
      <c r="S14" s="10">
        <v>32.321286213424003</v>
      </c>
      <c r="T14" s="10" t="s">
        <v>46</v>
      </c>
      <c r="U14" s="10">
        <v>2.1612537475559099</v>
      </c>
      <c r="V14" s="10" t="s">
        <v>31</v>
      </c>
      <c r="W14" s="10" t="s">
        <v>32</v>
      </c>
      <c r="X14" s="10">
        <v>402.96878907376998</v>
      </c>
    </row>
    <row r="15" spans="1:24" x14ac:dyDescent="0.35">
      <c r="A15" s="11" t="s">
        <v>33</v>
      </c>
      <c r="B15" s="11" t="s">
        <v>67</v>
      </c>
      <c r="C15" s="12">
        <v>16.160393317379899</v>
      </c>
      <c r="D15" s="13">
        <v>5</v>
      </c>
      <c r="E15" s="13">
        <v>249</v>
      </c>
      <c r="F15" s="14">
        <v>4052.7384162378598</v>
      </c>
      <c r="G15" s="11" t="s">
        <v>55</v>
      </c>
      <c r="H15" s="13">
        <v>80</v>
      </c>
      <c r="I15" s="13">
        <v>48</v>
      </c>
      <c r="J15" s="15">
        <v>8</v>
      </c>
      <c r="K15" s="15" t="s">
        <v>44</v>
      </c>
      <c r="L15" s="13">
        <v>9</v>
      </c>
      <c r="M15" s="15" t="s">
        <v>36</v>
      </c>
      <c r="N15" s="15">
        <v>9.5372830611083295</v>
      </c>
      <c r="O15" s="15" t="s">
        <v>53</v>
      </c>
      <c r="P15" s="15">
        <v>23</v>
      </c>
      <c r="Q15" s="15">
        <v>173</v>
      </c>
      <c r="R15" s="15">
        <v>10</v>
      </c>
      <c r="S15" s="15">
        <v>97.829050110173199</v>
      </c>
      <c r="T15" s="15" t="s">
        <v>30</v>
      </c>
      <c r="U15" s="15">
        <v>1.63107423007153</v>
      </c>
      <c r="V15" s="15" t="s">
        <v>31</v>
      </c>
      <c r="W15" s="15" t="s">
        <v>32</v>
      </c>
      <c r="X15" s="15">
        <v>547.24100516096803</v>
      </c>
    </row>
    <row r="16" spans="1:24" x14ac:dyDescent="0.35">
      <c r="A16" s="6" t="s">
        <v>33</v>
      </c>
      <c r="B16" s="6" t="s">
        <v>68</v>
      </c>
      <c r="C16" s="7">
        <v>99.171328638624104</v>
      </c>
      <c r="D16" s="8">
        <v>26</v>
      </c>
      <c r="E16" s="8">
        <v>562</v>
      </c>
      <c r="F16" s="9">
        <v>8653.5709264697998</v>
      </c>
      <c r="G16" s="6" t="s">
        <v>26</v>
      </c>
      <c r="H16" s="8">
        <v>54</v>
      </c>
      <c r="I16" s="8">
        <v>78</v>
      </c>
      <c r="J16" s="10">
        <v>29</v>
      </c>
      <c r="K16" s="10" t="s">
        <v>39</v>
      </c>
      <c r="L16" s="8">
        <v>5</v>
      </c>
      <c r="M16" s="10" t="s">
        <v>27</v>
      </c>
      <c r="N16" s="10">
        <v>2.0397701894493299</v>
      </c>
      <c r="O16" s="10" t="s">
        <v>45</v>
      </c>
      <c r="P16" s="10">
        <v>25</v>
      </c>
      <c r="Q16" s="10">
        <v>558</v>
      </c>
      <c r="R16" s="10">
        <v>14</v>
      </c>
      <c r="S16" s="10">
        <v>5.7914366298629796</v>
      </c>
      <c r="T16" s="10" t="s">
        <v>30</v>
      </c>
      <c r="U16" s="10">
        <v>0.100682851565093</v>
      </c>
      <c r="V16" s="10" t="s">
        <v>40</v>
      </c>
      <c r="W16" s="10" t="s">
        <v>32</v>
      </c>
      <c r="X16" s="10">
        <v>929.23528996088896</v>
      </c>
    </row>
    <row r="17" spans="1:24" x14ac:dyDescent="0.35">
      <c r="A17" s="11" t="s">
        <v>33</v>
      </c>
      <c r="B17" s="11" t="s">
        <v>69</v>
      </c>
      <c r="C17" s="12">
        <v>36.989244928626903</v>
      </c>
      <c r="D17" s="13">
        <v>94</v>
      </c>
      <c r="E17" s="13">
        <v>469</v>
      </c>
      <c r="F17" s="14">
        <v>5442.0867853976697</v>
      </c>
      <c r="G17" s="11" t="s">
        <v>26</v>
      </c>
      <c r="H17" s="13">
        <v>9</v>
      </c>
      <c r="I17" s="13">
        <v>69</v>
      </c>
      <c r="J17" s="15">
        <v>8</v>
      </c>
      <c r="K17" s="15" t="s">
        <v>39</v>
      </c>
      <c r="L17" s="13">
        <v>7</v>
      </c>
      <c r="M17" s="15" t="s">
        <v>27</v>
      </c>
      <c r="N17" s="15">
        <v>2.4220397232752</v>
      </c>
      <c r="O17" s="15" t="s">
        <v>53</v>
      </c>
      <c r="P17" s="15">
        <v>14</v>
      </c>
      <c r="Q17" s="15">
        <v>580</v>
      </c>
      <c r="R17" s="15">
        <v>7</v>
      </c>
      <c r="S17" s="15">
        <v>97.121281751474299</v>
      </c>
      <c r="T17" s="15" t="s">
        <v>64</v>
      </c>
      <c r="U17" s="15">
        <v>2.2644057611985402</v>
      </c>
      <c r="V17" s="15" t="s">
        <v>56</v>
      </c>
      <c r="W17" s="15" t="s">
        <v>32</v>
      </c>
      <c r="X17" s="15">
        <v>127.861800001625</v>
      </c>
    </row>
    <row r="18" spans="1:24" x14ac:dyDescent="0.35">
      <c r="A18" s="6" t="s">
        <v>33</v>
      </c>
      <c r="B18" s="6" t="s">
        <v>70</v>
      </c>
      <c r="C18" s="7">
        <v>7.5471721097912701</v>
      </c>
      <c r="D18" s="8">
        <v>74</v>
      </c>
      <c r="E18" s="8">
        <v>280</v>
      </c>
      <c r="F18" s="9">
        <v>6453.7979681762799</v>
      </c>
      <c r="G18" s="6" t="s">
        <v>35</v>
      </c>
      <c r="H18" s="8">
        <v>2</v>
      </c>
      <c r="I18" s="8">
        <v>78</v>
      </c>
      <c r="J18" s="10">
        <v>5</v>
      </c>
      <c r="K18" s="10" t="s">
        <v>39</v>
      </c>
      <c r="L18" s="8">
        <v>1</v>
      </c>
      <c r="M18" s="10" t="s">
        <v>27</v>
      </c>
      <c r="N18" s="10">
        <v>4.1913245857054999</v>
      </c>
      <c r="O18" s="10" t="s">
        <v>53</v>
      </c>
      <c r="P18" s="10">
        <v>3</v>
      </c>
      <c r="Q18" s="10">
        <v>399</v>
      </c>
      <c r="R18" s="10">
        <v>21</v>
      </c>
      <c r="S18" s="10">
        <v>77.106342497849994</v>
      </c>
      <c r="T18" s="10" t="s">
        <v>64</v>
      </c>
      <c r="U18" s="10">
        <v>1.01256308925804</v>
      </c>
      <c r="V18" s="10" t="s">
        <v>40</v>
      </c>
      <c r="W18" s="10" t="s">
        <v>48</v>
      </c>
      <c r="X18" s="10">
        <v>865.52577977123997</v>
      </c>
    </row>
    <row r="19" spans="1:24" x14ac:dyDescent="0.35">
      <c r="A19" s="11" t="s">
        <v>57</v>
      </c>
      <c r="B19" s="11" t="s">
        <v>71</v>
      </c>
      <c r="C19" s="12">
        <v>81.462534369237005</v>
      </c>
      <c r="D19" s="13">
        <v>82</v>
      </c>
      <c r="E19" s="13">
        <v>126</v>
      </c>
      <c r="F19" s="14">
        <v>2629.39643484526</v>
      </c>
      <c r="G19" s="11" t="s">
        <v>35</v>
      </c>
      <c r="H19" s="13">
        <v>45</v>
      </c>
      <c r="I19" s="13">
        <v>85</v>
      </c>
      <c r="J19" s="15">
        <v>17</v>
      </c>
      <c r="K19" s="15" t="s">
        <v>39</v>
      </c>
      <c r="L19" s="13">
        <v>9</v>
      </c>
      <c r="M19" s="15" t="s">
        <v>43</v>
      </c>
      <c r="N19" s="15">
        <v>3.5854189582323399</v>
      </c>
      <c r="O19" s="15" t="s">
        <v>62</v>
      </c>
      <c r="P19" s="15">
        <v>7</v>
      </c>
      <c r="Q19" s="15">
        <v>453</v>
      </c>
      <c r="R19" s="15">
        <v>16</v>
      </c>
      <c r="S19" s="15">
        <v>47.679680368355299</v>
      </c>
      <c r="T19" s="15" t="s">
        <v>46</v>
      </c>
      <c r="U19" s="15">
        <v>0.102020754918176</v>
      </c>
      <c r="V19" s="15" t="s">
        <v>40</v>
      </c>
      <c r="W19" s="15" t="s">
        <v>41</v>
      </c>
      <c r="X19" s="15">
        <v>670.93439079241</v>
      </c>
    </row>
    <row r="20" spans="1:24" x14ac:dyDescent="0.35">
      <c r="A20" s="6" t="s">
        <v>24</v>
      </c>
      <c r="B20" s="6" t="s">
        <v>72</v>
      </c>
      <c r="C20" s="7">
        <v>36.4436277704609</v>
      </c>
      <c r="D20" s="8">
        <v>23</v>
      </c>
      <c r="E20" s="8">
        <v>620</v>
      </c>
      <c r="F20" s="9">
        <v>9364.6735050761708</v>
      </c>
      <c r="G20" s="6" t="s">
        <v>38</v>
      </c>
      <c r="H20" s="8">
        <v>10</v>
      </c>
      <c r="I20" s="8">
        <v>46</v>
      </c>
      <c r="J20" s="10">
        <v>10</v>
      </c>
      <c r="K20" s="10" t="s">
        <v>61</v>
      </c>
      <c r="L20" s="8">
        <v>8</v>
      </c>
      <c r="M20" s="10" t="s">
        <v>43</v>
      </c>
      <c r="N20" s="10">
        <v>4.3392247141107001</v>
      </c>
      <c r="O20" s="10" t="s">
        <v>45</v>
      </c>
      <c r="P20" s="10">
        <v>18</v>
      </c>
      <c r="Q20" s="10">
        <v>374</v>
      </c>
      <c r="R20" s="10">
        <v>17</v>
      </c>
      <c r="S20" s="10">
        <v>27.107980854843898</v>
      </c>
      <c r="T20" s="10" t="s">
        <v>30</v>
      </c>
      <c r="U20" s="10">
        <v>2.2319391107292601</v>
      </c>
      <c r="V20" s="10" t="s">
        <v>56</v>
      </c>
      <c r="W20" s="10" t="s">
        <v>48</v>
      </c>
      <c r="X20" s="10">
        <v>593.48025872065102</v>
      </c>
    </row>
    <row r="21" spans="1:24" x14ac:dyDescent="0.35">
      <c r="A21" s="11" t="s">
        <v>33</v>
      </c>
      <c r="B21" s="11" t="s">
        <v>73</v>
      </c>
      <c r="C21" s="12">
        <v>51.123870087964697</v>
      </c>
      <c r="D21" s="13">
        <v>100</v>
      </c>
      <c r="E21" s="13">
        <v>187</v>
      </c>
      <c r="F21" s="14">
        <v>2553.4955849912099</v>
      </c>
      <c r="G21" s="11" t="s">
        <v>38</v>
      </c>
      <c r="H21" s="13">
        <v>48</v>
      </c>
      <c r="I21" s="13">
        <v>94</v>
      </c>
      <c r="J21" s="15">
        <v>11</v>
      </c>
      <c r="K21" s="15" t="s">
        <v>52</v>
      </c>
      <c r="L21" s="13">
        <v>3</v>
      </c>
      <c r="M21" s="15" t="s">
        <v>36</v>
      </c>
      <c r="N21" s="15">
        <v>4.7426358828418698</v>
      </c>
      <c r="O21" s="15" t="s">
        <v>62</v>
      </c>
      <c r="P21" s="15">
        <v>20</v>
      </c>
      <c r="Q21" s="15">
        <v>694</v>
      </c>
      <c r="R21" s="15">
        <v>16</v>
      </c>
      <c r="S21" s="15">
        <v>82.373320587990193</v>
      </c>
      <c r="T21" s="15" t="s">
        <v>46</v>
      </c>
      <c r="U21" s="15">
        <v>3.64645086541702</v>
      </c>
      <c r="V21" s="15" t="s">
        <v>31</v>
      </c>
      <c r="W21" s="15" t="s">
        <v>41</v>
      </c>
      <c r="X21" s="15">
        <v>477.30763109090299</v>
      </c>
    </row>
    <row r="22" spans="1:24" x14ac:dyDescent="0.35">
      <c r="A22" s="6" t="s">
        <v>33</v>
      </c>
      <c r="B22" s="6" t="s">
        <v>74</v>
      </c>
      <c r="C22" s="7">
        <v>96.341072439963298</v>
      </c>
      <c r="D22" s="8">
        <v>22</v>
      </c>
      <c r="E22" s="8">
        <v>320</v>
      </c>
      <c r="F22" s="9">
        <v>8128.0276968511898</v>
      </c>
      <c r="G22" s="6" t="s">
        <v>38</v>
      </c>
      <c r="H22" s="8">
        <v>27</v>
      </c>
      <c r="I22" s="8">
        <v>68</v>
      </c>
      <c r="J22" s="10">
        <v>12</v>
      </c>
      <c r="K22" s="10" t="s">
        <v>39</v>
      </c>
      <c r="L22" s="8">
        <v>6</v>
      </c>
      <c r="M22" s="10" t="s">
        <v>36</v>
      </c>
      <c r="N22" s="10">
        <v>8.8783346509268402</v>
      </c>
      <c r="O22" s="10" t="s">
        <v>62</v>
      </c>
      <c r="P22" s="10">
        <v>29</v>
      </c>
      <c r="Q22" s="10">
        <v>309</v>
      </c>
      <c r="R22" s="10">
        <v>6</v>
      </c>
      <c r="S22" s="10">
        <v>65.686259608488598</v>
      </c>
      <c r="T22" s="10" t="s">
        <v>64</v>
      </c>
      <c r="U22" s="10">
        <v>4.2314165735345304</v>
      </c>
      <c r="V22" s="10" t="s">
        <v>40</v>
      </c>
      <c r="W22" s="10" t="s">
        <v>32</v>
      </c>
      <c r="X22" s="10">
        <v>493.871215316205</v>
      </c>
    </row>
    <row r="23" spans="1:24" x14ac:dyDescent="0.35">
      <c r="A23" s="11" t="s">
        <v>57</v>
      </c>
      <c r="B23" s="11" t="s">
        <v>75</v>
      </c>
      <c r="C23" s="12">
        <v>84.893868984950799</v>
      </c>
      <c r="D23" s="13">
        <v>60</v>
      </c>
      <c r="E23" s="13">
        <v>601</v>
      </c>
      <c r="F23" s="14">
        <v>7087.0526963574302</v>
      </c>
      <c r="G23" s="11" t="s">
        <v>38</v>
      </c>
      <c r="H23" s="13">
        <v>69</v>
      </c>
      <c r="I23" s="13">
        <v>7</v>
      </c>
      <c r="J23" s="15">
        <v>25</v>
      </c>
      <c r="K23" s="15" t="s">
        <v>44</v>
      </c>
      <c r="L23" s="13">
        <v>6</v>
      </c>
      <c r="M23" s="15" t="s">
        <v>27</v>
      </c>
      <c r="N23" s="15">
        <v>6.0378837692182898</v>
      </c>
      <c r="O23" s="15" t="s">
        <v>62</v>
      </c>
      <c r="P23" s="15">
        <v>19</v>
      </c>
      <c r="Q23" s="15">
        <v>791</v>
      </c>
      <c r="R23" s="15">
        <v>4</v>
      </c>
      <c r="S23" s="15">
        <v>61.735728954160898</v>
      </c>
      <c r="T23" s="15" t="s">
        <v>30</v>
      </c>
      <c r="U23" s="15">
        <v>1.8607567631014899E-2</v>
      </c>
      <c r="V23" s="15" t="s">
        <v>40</v>
      </c>
      <c r="W23" s="15" t="s">
        <v>41</v>
      </c>
      <c r="X23" s="15">
        <v>523.36091472015801</v>
      </c>
    </row>
    <row r="24" spans="1:24" x14ac:dyDescent="0.35">
      <c r="A24" s="6" t="s">
        <v>24</v>
      </c>
      <c r="B24" s="6" t="s">
        <v>76</v>
      </c>
      <c r="C24" s="7">
        <v>27.679780886501899</v>
      </c>
      <c r="D24" s="8">
        <v>55</v>
      </c>
      <c r="E24" s="8">
        <v>884</v>
      </c>
      <c r="F24" s="9">
        <v>2390.8078665561702</v>
      </c>
      <c r="G24" s="6" t="s">
        <v>38</v>
      </c>
      <c r="H24" s="8">
        <v>71</v>
      </c>
      <c r="I24" s="8">
        <v>63</v>
      </c>
      <c r="J24" s="10">
        <v>1</v>
      </c>
      <c r="K24" s="10" t="s">
        <v>52</v>
      </c>
      <c r="L24" s="8">
        <v>10</v>
      </c>
      <c r="M24" s="10" t="s">
        <v>36</v>
      </c>
      <c r="N24" s="10">
        <v>9.5676489209230393</v>
      </c>
      <c r="O24" s="10" t="s">
        <v>45</v>
      </c>
      <c r="P24" s="10">
        <v>22</v>
      </c>
      <c r="Q24" s="10">
        <v>780</v>
      </c>
      <c r="R24" s="10">
        <v>28</v>
      </c>
      <c r="S24" s="10">
        <v>50.120839612977299</v>
      </c>
      <c r="T24" s="10" t="s">
        <v>46</v>
      </c>
      <c r="U24" s="10">
        <v>2.5912754732111098</v>
      </c>
      <c r="V24" s="10" t="s">
        <v>47</v>
      </c>
      <c r="W24" s="10" t="s">
        <v>41</v>
      </c>
      <c r="X24" s="10">
        <v>205.57199582694699</v>
      </c>
    </row>
    <row r="25" spans="1:24" x14ac:dyDescent="0.35">
      <c r="A25" s="11" t="s">
        <v>57</v>
      </c>
      <c r="B25" s="11" t="s">
        <v>77</v>
      </c>
      <c r="C25" s="12">
        <v>4.3243411858641601</v>
      </c>
      <c r="D25" s="13">
        <v>30</v>
      </c>
      <c r="E25" s="13">
        <v>391</v>
      </c>
      <c r="F25" s="14">
        <v>8858.3675710114803</v>
      </c>
      <c r="G25" s="11" t="s">
        <v>38</v>
      </c>
      <c r="H25" s="13">
        <v>84</v>
      </c>
      <c r="I25" s="13">
        <v>29</v>
      </c>
      <c r="J25" s="15">
        <v>5</v>
      </c>
      <c r="K25" s="15" t="s">
        <v>44</v>
      </c>
      <c r="L25" s="13">
        <v>7</v>
      </c>
      <c r="M25" s="15" t="s">
        <v>36</v>
      </c>
      <c r="N25" s="15">
        <v>2.92485760114555</v>
      </c>
      <c r="O25" s="15" t="s">
        <v>45</v>
      </c>
      <c r="P25" s="15">
        <v>11</v>
      </c>
      <c r="Q25" s="15">
        <v>568</v>
      </c>
      <c r="R25" s="15">
        <v>29</v>
      </c>
      <c r="S25" s="15">
        <v>98.6099572427038</v>
      </c>
      <c r="T25" s="15" t="s">
        <v>30</v>
      </c>
      <c r="U25" s="15">
        <v>1.3422915627227301</v>
      </c>
      <c r="V25" s="15" t="s">
        <v>47</v>
      </c>
      <c r="W25" s="15" t="s">
        <v>48</v>
      </c>
      <c r="X25" s="15">
        <v>196.329446112412</v>
      </c>
    </row>
    <row r="26" spans="1:24" x14ac:dyDescent="0.35">
      <c r="A26" s="6" t="s">
        <v>24</v>
      </c>
      <c r="B26" s="6" t="s">
        <v>78</v>
      </c>
      <c r="C26" s="7">
        <v>4.1563083593111001</v>
      </c>
      <c r="D26" s="8">
        <v>32</v>
      </c>
      <c r="E26" s="8">
        <v>209</v>
      </c>
      <c r="F26" s="9">
        <v>9049.0778609398894</v>
      </c>
      <c r="G26" s="6" t="s">
        <v>55</v>
      </c>
      <c r="H26" s="8">
        <v>4</v>
      </c>
      <c r="I26" s="8">
        <v>2</v>
      </c>
      <c r="J26" s="10">
        <v>26</v>
      </c>
      <c r="K26" s="10" t="s">
        <v>61</v>
      </c>
      <c r="L26" s="8">
        <v>8</v>
      </c>
      <c r="M26" s="10" t="s">
        <v>43</v>
      </c>
      <c r="N26" s="10">
        <v>9.7412916892843597</v>
      </c>
      <c r="O26" s="10" t="s">
        <v>53</v>
      </c>
      <c r="P26" s="10">
        <v>28</v>
      </c>
      <c r="Q26" s="10">
        <v>447</v>
      </c>
      <c r="R26" s="10">
        <v>3</v>
      </c>
      <c r="S26" s="10">
        <v>40.382359702924802</v>
      </c>
      <c r="T26" s="10" t="s">
        <v>30</v>
      </c>
      <c r="U26" s="10">
        <v>3.69131029262872</v>
      </c>
      <c r="V26" s="10" t="s">
        <v>40</v>
      </c>
      <c r="W26" s="10" t="s">
        <v>48</v>
      </c>
      <c r="X26" s="10">
        <v>758.72477260293795</v>
      </c>
    </row>
    <row r="27" spans="1:24" x14ac:dyDescent="0.35">
      <c r="A27" s="11" t="s">
        <v>24</v>
      </c>
      <c r="B27" s="11" t="s">
        <v>79</v>
      </c>
      <c r="C27" s="12">
        <v>39.629343985092603</v>
      </c>
      <c r="D27" s="13">
        <v>73</v>
      </c>
      <c r="E27" s="13">
        <v>142</v>
      </c>
      <c r="F27" s="14">
        <v>2174.7770543506499</v>
      </c>
      <c r="G27" s="11" t="s">
        <v>55</v>
      </c>
      <c r="H27" s="13">
        <v>82</v>
      </c>
      <c r="I27" s="13">
        <v>52</v>
      </c>
      <c r="J27" s="15">
        <v>11</v>
      </c>
      <c r="K27" s="15" t="s">
        <v>52</v>
      </c>
      <c r="L27" s="13">
        <v>3</v>
      </c>
      <c r="M27" s="15" t="s">
        <v>43</v>
      </c>
      <c r="N27" s="15">
        <v>2.2310736812817198</v>
      </c>
      <c r="O27" s="15" t="s">
        <v>45</v>
      </c>
      <c r="P27" s="15">
        <v>19</v>
      </c>
      <c r="Q27" s="15">
        <v>934</v>
      </c>
      <c r="R27" s="15">
        <v>23</v>
      </c>
      <c r="S27" s="15">
        <v>78.280383118415301</v>
      </c>
      <c r="T27" s="15" t="s">
        <v>30</v>
      </c>
      <c r="U27" s="15">
        <v>3.79723121711418</v>
      </c>
      <c r="V27" s="15" t="s">
        <v>31</v>
      </c>
      <c r="W27" s="15" t="s">
        <v>32</v>
      </c>
      <c r="X27" s="15">
        <v>458.53594573920901</v>
      </c>
    </row>
    <row r="28" spans="1:24" x14ac:dyDescent="0.35">
      <c r="A28" s="6" t="s">
        <v>24</v>
      </c>
      <c r="B28" s="6" t="s">
        <v>80</v>
      </c>
      <c r="C28" s="7">
        <v>97.446946617892806</v>
      </c>
      <c r="D28" s="8">
        <v>9</v>
      </c>
      <c r="E28" s="8">
        <v>353</v>
      </c>
      <c r="F28" s="9">
        <v>3716.49332589403</v>
      </c>
      <c r="G28" s="6" t="s">
        <v>55</v>
      </c>
      <c r="H28" s="8">
        <v>59</v>
      </c>
      <c r="I28" s="8">
        <v>48</v>
      </c>
      <c r="J28" s="10">
        <v>16</v>
      </c>
      <c r="K28" s="10" t="s">
        <v>61</v>
      </c>
      <c r="L28" s="8">
        <v>4</v>
      </c>
      <c r="M28" s="10" t="s">
        <v>27</v>
      </c>
      <c r="N28" s="10">
        <v>6.5075486210785503</v>
      </c>
      <c r="O28" s="10" t="s">
        <v>53</v>
      </c>
      <c r="P28" s="10">
        <v>26</v>
      </c>
      <c r="Q28" s="10">
        <v>171</v>
      </c>
      <c r="R28" s="10">
        <v>4</v>
      </c>
      <c r="S28" s="10">
        <v>15.972229757181699</v>
      </c>
      <c r="T28" s="10" t="s">
        <v>64</v>
      </c>
      <c r="U28" s="10">
        <v>2.1193197367249201</v>
      </c>
      <c r="V28" s="10" t="s">
        <v>47</v>
      </c>
      <c r="W28" s="10" t="s">
        <v>48</v>
      </c>
      <c r="X28" s="10">
        <v>617.86691645837698</v>
      </c>
    </row>
    <row r="29" spans="1:24" x14ac:dyDescent="0.35">
      <c r="A29" s="11" t="s">
        <v>57</v>
      </c>
      <c r="B29" s="11" t="s">
        <v>81</v>
      </c>
      <c r="C29" s="12">
        <v>92.557360812401996</v>
      </c>
      <c r="D29" s="13">
        <v>42</v>
      </c>
      <c r="E29" s="13">
        <v>352</v>
      </c>
      <c r="F29" s="14">
        <v>2686.4572235759802</v>
      </c>
      <c r="G29" s="11" t="s">
        <v>38</v>
      </c>
      <c r="H29" s="13">
        <v>47</v>
      </c>
      <c r="I29" s="13">
        <v>62</v>
      </c>
      <c r="J29" s="15">
        <v>9</v>
      </c>
      <c r="K29" s="15" t="s">
        <v>44</v>
      </c>
      <c r="L29" s="13">
        <v>8</v>
      </c>
      <c r="M29" s="15" t="s">
        <v>43</v>
      </c>
      <c r="N29" s="15">
        <v>7.4067509529980704</v>
      </c>
      <c r="O29" s="15" t="s">
        <v>29</v>
      </c>
      <c r="P29" s="15">
        <v>25</v>
      </c>
      <c r="Q29" s="15">
        <v>291</v>
      </c>
      <c r="R29" s="15">
        <v>4</v>
      </c>
      <c r="S29" s="15">
        <v>10.5282450700421</v>
      </c>
      <c r="T29" s="15" t="s">
        <v>46</v>
      </c>
      <c r="U29" s="15">
        <v>2.8646678378833701</v>
      </c>
      <c r="V29" s="15" t="s">
        <v>56</v>
      </c>
      <c r="W29" s="15" t="s">
        <v>32</v>
      </c>
      <c r="X29" s="15">
        <v>762.45918215568304</v>
      </c>
    </row>
    <row r="30" spans="1:24" x14ac:dyDescent="0.35">
      <c r="A30" s="6" t="s">
        <v>57</v>
      </c>
      <c r="B30" s="6" t="s">
        <v>82</v>
      </c>
      <c r="C30" s="7">
        <v>2.3972747055971402</v>
      </c>
      <c r="D30" s="8">
        <v>12</v>
      </c>
      <c r="E30" s="8">
        <v>394</v>
      </c>
      <c r="F30" s="9">
        <v>6117.3246150839896</v>
      </c>
      <c r="G30" s="6" t="s">
        <v>35</v>
      </c>
      <c r="H30" s="8">
        <v>48</v>
      </c>
      <c r="I30" s="8">
        <v>24</v>
      </c>
      <c r="J30" s="10">
        <v>15</v>
      </c>
      <c r="K30" s="10" t="s">
        <v>39</v>
      </c>
      <c r="L30" s="8">
        <v>4</v>
      </c>
      <c r="M30" s="10" t="s">
        <v>27</v>
      </c>
      <c r="N30" s="10">
        <v>9.8981405080692202</v>
      </c>
      <c r="O30" s="10" t="s">
        <v>29</v>
      </c>
      <c r="P30" s="10">
        <v>13</v>
      </c>
      <c r="Q30" s="10">
        <v>171</v>
      </c>
      <c r="R30" s="10">
        <v>7</v>
      </c>
      <c r="S30" s="10">
        <v>59.429381810691503</v>
      </c>
      <c r="T30" s="10" t="s">
        <v>46</v>
      </c>
      <c r="U30" s="10">
        <v>0.81575707929567198</v>
      </c>
      <c r="V30" s="10" t="s">
        <v>40</v>
      </c>
      <c r="W30" s="10" t="s">
        <v>48</v>
      </c>
      <c r="X30" s="10">
        <v>123.437027511827</v>
      </c>
    </row>
    <row r="31" spans="1:24" x14ac:dyDescent="0.35">
      <c r="A31" s="11" t="s">
        <v>57</v>
      </c>
      <c r="B31" s="11" t="s">
        <v>83</v>
      </c>
      <c r="C31" s="12">
        <v>63.447559185207297</v>
      </c>
      <c r="D31" s="13">
        <v>3</v>
      </c>
      <c r="E31" s="13">
        <v>253</v>
      </c>
      <c r="F31" s="14">
        <v>8318.9031946171708</v>
      </c>
      <c r="G31" s="11" t="s">
        <v>35</v>
      </c>
      <c r="H31" s="13">
        <v>45</v>
      </c>
      <c r="I31" s="13">
        <v>67</v>
      </c>
      <c r="J31" s="15">
        <v>5</v>
      </c>
      <c r="K31" s="15" t="s">
        <v>39</v>
      </c>
      <c r="L31" s="13">
        <v>7</v>
      </c>
      <c r="M31" s="15" t="s">
        <v>27</v>
      </c>
      <c r="N31" s="15">
        <v>8.1009731453970293</v>
      </c>
      <c r="O31" s="15" t="s">
        <v>45</v>
      </c>
      <c r="P31" s="15">
        <v>16</v>
      </c>
      <c r="Q31" s="15">
        <v>329</v>
      </c>
      <c r="R31" s="15">
        <v>7</v>
      </c>
      <c r="S31" s="15">
        <v>39.292875586065698</v>
      </c>
      <c r="T31" s="15" t="s">
        <v>64</v>
      </c>
      <c r="U31" s="15">
        <v>3.8780989365884802</v>
      </c>
      <c r="V31" s="15" t="s">
        <v>31</v>
      </c>
      <c r="W31" s="15" t="s">
        <v>32</v>
      </c>
      <c r="X31" s="15">
        <v>764.93537594070801</v>
      </c>
    </row>
    <row r="32" spans="1:24" x14ac:dyDescent="0.35">
      <c r="A32" s="6" t="s">
        <v>24</v>
      </c>
      <c r="B32" s="6" t="s">
        <v>84</v>
      </c>
      <c r="C32" s="7">
        <v>8.0228592105263896</v>
      </c>
      <c r="D32" s="8">
        <v>10</v>
      </c>
      <c r="E32" s="8">
        <v>327</v>
      </c>
      <c r="F32" s="9">
        <v>2766.3423668660798</v>
      </c>
      <c r="G32" s="6" t="s">
        <v>55</v>
      </c>
      <c r="H32" s="8">
        <v>60</v>
      </c>
      <c r="I32" s="8">
        <v>35</v>
      </c>
      <c r="J32" s="10">
        <v>26</v>
      </c>
      <c r="K32" s="10" t="s">
        <v>52</v>
      </c>
      <c r="L32" s="8">
        <v>7</v>
      </c>
      <c r="M32" s="10" t="s">
        <v>27</v>
      </c>
      <c r="N32" s="10">
        <v>8.9545283153180097</v>
      </c>
      <c r="O32" s="10" t="s">
        <v>45</v>
      </c>
      <c r="P32" s="10">
        <v>27</v>
      </c>
      <c r="Q32" s="10">
        <v>806</v>
      </c>
      <c r="R32" s="10">
        <v>30</v>
      </c>
      <c r="S32" s="10">
        <v>51.634893400109299</v>
      </c>
      <c r="T32" s="10" t="s">
        <v>30</v>
      </c>
      <c r="U32" s="10">
        <v>0.96539470535239302</v>
      </c>
      <c r="V32" s="10" t="s">
        <v>31</v>
      </c>
      <c r="W32" s="10" t="s">
        <v>41</v>
      </c>
      <c r="X32" s="10">
        <v>880.08098824716103</v>
      </c>
    </row>
    <row r="33" spans="1:24" x14ac:dyDescent="0.35">
      <c r="A33" s="11" t="s">
        <v>33</v>
      </c>
      <c r="B33" s="11" t="s">
        <v>85</v>
      </c>
      <c r="C33" s="12">
        <v>50.847393051718697</v>
      </c>
      <c r="D33" s="13">
        <v>28</v>
      </c>
      <c r="E33" s="13">
        <v>168</v>
      </c>
      <c r="F33" s="14">
        <v>9655.1351027193905</v>
      </c>
      <c r="G33" s="11" t="s">
        <v>55</v>
      </c>
      <c r="H33" s="13">
        <v>6</v>
      </c>
      <c r="I33" s="13">
        <v>44</v>
      </c>
      <c r="J33" s="15">
        <v>17</v>
      </c>
      <c r="K33" s="15" t="s">
        <v>28</v>
      </c>
      <c r="L33" s="13">
        <v>4</v>
      </c>
      <c r="M33" s="15" t="s">
        <v>27</v>
      </c>
      <c r="N33" s="15">
        <v>2.6796609649813998</v>
      </c>
      <c r="O33" s="15" t="s">
        <v>62</v>
      </c>
      <c r="P33" s="15">
        <v>24</v>
      </c>
      <c r="Q33" s="15">
        <v>461</v>
      </c>
      <c r="R33" s="15">
        <v>8</v>
      </c>
      <c r="S33" s="15">
        <v>60.251145661598002</v>
      </c>
      <c r="T33" s="15" t="s">
        <v>30</v>
      </c>
      <c r="U33" s="15">
        <v>2.9890000066550702</v>
      </c>
      <c r="V33" s="15" t="s">
        <v>47</v>
      </c>
      <c r="W33" s="15" t="s">
        <v>41</v>
      </c>
      <c r="X33" s="15">
        <v>609.379206618426</v>
      </c>
    </row>
    <row r="34" spans="1:24" x14ac:dyDescent="0.35">
      <c r="A34" s="6" t="s">
        <v>33</v>
      </c>
      <c r="B34" s="6" t="s">
        <v>86</v>
      </c>
      <c r="C34" s="7">
        <v>79.209936015656695</v>
      </c>
      <c r="D34" s="8">
        <v>43</v>
      </c>
      <c r="E34" s="8">
        <v>781</v>
      </c>
      <c r="F34" s="9">
        <v>9571.5504873278096</v>
      </c>
      <c r="G34" s="6" t="s">
        <v>38</v>
      </c>
      <c r="H34" s="8">
        <v>89</v>
      </c>
      <c r="I34" s="8">
        <v>64</v>
      </c>
      <c r="J34" s="10">
        <v>13</v>
      </c>
      <c r="K34" s="10" t="s">
        <v>28</v>
      </c>
      <c r="L34" s="8">
        <v>4</v>
      </c>
      <c r="M34" s="10" t="s">
        <v>43</v>
      </c>
      <c r="N34" s="10">
        <v>6.5991049012385803</v>
      </c>
      <c r="O34" s="10" t="s">
        <v>45</v>
      </c>
      <c r="P34" s="10">
        <v>30</v>
      </c>
      <c r="Q34" s="10">
        <v>737</v>
      </c>
      <c r="R34" s="10">
        <v>7</v>
      </c>
      <c r="S34" s="10">
        <v>29.6924671537497</v>
      </c>
      <c r="T34" s="10" t="s">
        <v>64</v>
      </c>
      <c r="U34" s="10">
        <v>1.94603611938611</v>
      </c>
      <c r="V34" s="10" t="s">
        <v>31</v>
      </c>
      <c r="W34" s="10" t="s">
        <v>48</v>
      </c>
      <c r="X34" s="10">
        <v>761.17390951487698</v>
      </c>
    </row>
    <row r="35" spans="1:24" x14ac:dyDescent="0.35">
      <c r="A35" s="11" t="s">
        <v>57</v>
      </c>
      <c r="B35" s="11" t="s">
        <v>87</v>
      </c>
      <c r="C35" s="12">
        <v>64.795435000155607</v>
      </c>
      <c r="D35" s="13">
        <v>63</v>
      </c>
      <c r="E35" s="13">
        <v>616</v>
      </c>
      <c r="F35" s="14">
        <v>5149.9983504080301</v>
      </c>
      <c r="G35" s="11" t="s">
        <v>26</v>
      </c>
      <c r="H35" s="13">
        <v>4</v>
      </c>
      <c r="I35" s="13">
        <v>95</v>
      </c>
      <c r="J35" s="15">
        <v>17</v>
      </c>
      <c r="K35" s="15" t="s">
        <v>44</v>
      </c>
      <c r="L35" s="13">
        <v>9</v>
      </c>
      <c r="M35" s="15" t="s">
        <v>43</v>
      </c>
      <c r="N35" s="15">
        <v>4.85827050343664</v>
      </c>
      <c r="O35" s="15" t="s">
        <v>62</v>
      </c>
      <c r="P35" s="15">
        <v>1</v>
      </c>
      <c r="Q35" s="15">
        <v>251</v>
      </c>
      <c r="R35" s="15">
        <v>23</v>
      </c>
      <c r="S35" s="15">
        <v>23.853427512896101</v>
      </c>
      <c r="T35" s="15" t="s">
        <v>46</v>
      </c>
      <c r="U35" s="15">
        <v>3.54104601225092</v>
      </c>
      <c r="V35" s="15" t="s">
        <v>56</v>
      </c>
      <c r="W35" s="15" t="s">
        <v>48</v>
      </c>
      <c r="X35" s="15">
        <v>371.25529551987103</v>
      </c>
    </row>
    <row r="36" spans="1:24" x14ac:dyDescent="0.35">
      <c r="A36" s="6" t="s">
        <v>33</v>
      </c>
      <c r="B36" s="6" t="s">
        <v>88</v>
      </c>
      <c r="C36" s="7">
        <v>37.467592329842397</v>
      </c>
      <c r="D36" s="8">
        <v>96</v>
      </c>
      <c r="E36" s="8">
        <v>602</v>
      </c>
      <c r="F36" s="9">
        <v>9061.7108955077201</v>
      </c>
      <c r="G36" s="6" t="s">
        <v>38</v>
      </c>
      <c r="H36" s="8">
        <v>1</v>
      </c>
      <c r="I36" s="8">
        <v>21</v>
      </c>
      <c r="J36" s="10">
        <v>26</v>
      </c>
      <c r="K36" s="10" t="s">
        <v>39</v>
      </c>
      <c r="L36" s="8">
        <v>7</v>
      </c>
      <c r="M36" s="10" t="s">
        <v>36</v>
      </c>
      <c r="N36" s="10">
        <v>1.0194875708221101</v>
      </c>
      <c r="O36" s="10" t="s">
        <v>62</v>
      </c>
      <c r="P36" s="10">
        <v>4</v>
      </c>
      <c r="Q36" s="10">
        <v>452</v>
      </c>
      <c r="R36" s="10">
        <v>10</v>
      </c>
      <c r="S36" s="10">
        <v>10.754272815029299</v>
      </c>
      <c r="T36" s="10" t="s">
        <v>64</v>
      </c>
      <c r="U36" s="10">
        <v>0.64660455937205397</v>
      </c>
      <c r="V36" s="10" t="s">
        <v>31</v>
      </c>
      <c r="W36" s="10" t="s">
        <v>32</v>
      </c>
      <c r="X36" s="10">
        <v>510.35800043352299</v>
      </c>
    </row>
    <row r="37" spans="1:24" x14ac:dyDescent="0.35">
      <c r="A37" s="11" t="s">
        <v>57</v>
      </c>
      <c r="B37" s="11" t="s">
        <v>89</v>
      </c>
      <c r="C37" s="12">
        <v>84.957786816350406</v>
      </c>
      <c r="D37" s="13">
        <v>11</v>
      </c>
      <c r="E37" s="13">
        <v>449</v>
      </c>
      <c r="F37" s="14">
        <v>6541.3293448024597</v>
      </c>
      <c r="G37" s="11" t="s">
        <v>35</v>
      </c>
      <c r="H37" s="13">
        <v>42</v>
      </c>
      <c r="I37" s="13">
        <v>85</v>
      </c>
      <c r="J37" s="15">
        <v>27</v>
      </c>
      <c r="K37" s="15" t="s">
        <v>39</v>
      </c>
      <c r="L37" s="13">
        <v>8</v>
      </c>
      <c r="M37" s="15" t="s">
        <v>43</v>
      </c>
      <c r="N37" s="15">
        <v>5.2881899903273997</v>
      </c>
      <c r="O37" s="15" t="s">
        <v>50</v>
      </c>
      <c r="P37" s="15">
        <v>3</v>
      </c>
      <c r="Q37" s="15">
        <v>367</v>
      </c>
      <c r="R37" s="15">
        <v>2</v>
      </c>
      <c r="S37" s="15">
        <v>58.004787044743701</v>
      </c>
      <c r="T37" s="15" t="s">
        <v>64</v>
      </c>
      <c r="U37" s="15">
        <v>0.54115409806058101</v>
      </c>
      <c r="V37" s="15" t="s">
        <v>56</v>
      </c>
      <c r="W37" s="15" t="s">
        <v>41</v>
      </c>
      <c r="X37" s="15">
        <v>553.42047123035502</v>
      </c>
    </row>
    <row r="38" spans="1:24" x14ac:dyDescent="0.35">
      <c r="A38" s="6" t="s">
        <v>33</v>
      </c>
      <c r="B38" s="6" t="s">
        <v>90</v>
      </c>
      <c r="C38" s="7">
        <v>9.81300257875405</v>
      </c>
      <c r="D38" s="8">
        <v>34</v>
      </c>
      <c r="E38" s="8">
        <v>963</v>
      </c>
      <c r="F38" s="9">
        <v>7573.4024578487297</v>
      </c>
      <c r="G38" s="6" t="s">
        <v>35</v>
      </c>
      <c r="H38" s="8">
        <v>18</v>
      </c>
      <c r="I38" s="8">
        <v>28</v>
      </c>
      <c r="J38" s="10">
        <v>23</v>
      </c>
      <c r="K38" s="10" t="s">
        <v>61</v>
      </c>
      <c r="L38" s="8">
        <v>3</v>
      </c>
      <c r="M38" s="10" t="s">
        <v>27</v>
      </c>
      <c r="N38" s="10">
        <v>2.1079512671590801</v>
      </c>
      <c r="O38" s="10" t="s">
        <v>50</v>
      </c>
      <c r="P38" s="10">
        <v>26</v>
      </c>
      <c r="Q38" s="10">
        <v>671</v>
      </c>
      <c r="R38" s="10">
        <v>19</v>
      </c>
      <c r="S38" s="10">
        <v>45.531364237162101</v>
      </c>
      <c r="T38" s="10" t="s">
        <v>46</v>
      </c>
      <c r="U38" s="10">
        <v>3.8055333792433501</v>
      </c>
      <c r="V38" s="10" t="s">
        <v>40</v>
      </c>
      <c r="W38" s="10" t="s">
        <v>41</v>
      </c>
      <c r="X38" s="10">
        <v>403.80897424817999</v>
      </c>
    </row>
    <row r="39" spans="1:24" x14ac:dyDescent="0.35">
      <c r="A39" s="11" t="s">
        <v>33</v>
      </c>
      <c r="B39" s="11" t="s">
        <v>91</v>
      </c>
      <c r="C39" s="12">
        <v>23.3998447526143</v>
      </c>
      <c r="D39" s="13">
        <v>5</v>
      </c>
      <c r="E39" s="13">
        <v>963</v>
      </c>
      <c r="F39" s="14">
        <v>2438.3399304700201</v>
      </c>
      <c r="G39" s="11" t="s">
        <v>35</v>
      </c>
      <c r="H39" s="13">
        <v>25</v>
      </c>
      <c r="I39" s="13">
        <v>21</v>
      </c>
      <c r="J39" s="15">
        <v>8</v>
      </c>
      <c r="K39" s="15" t="s">
        <v>28</v>
      </c>
      <c r="L39" s="13">
        <v>9</v>
      </c>
      <c r="M39" s="15" t="s">
        <v>36</v>
      </c>
      <c r="N39" s="15">
        <v>1.53265527359043</v>
      </c>
      <c r="O39" s="15" t="s">
        <v>45</v>
      </c>
      <c r="P39" s="15">
        <v>24</v>
      </c>
      <c r="Q39" s="15">
        <v>867</v>
      </c>
      <c r="R39" s="15">
        <v>15</v>
      </c>
      <c r="S39" s="15">
        <v>34.343277465075303</v>
      </c>
      <c r="T39" s="15" t="s">
        <v>30</v>
      </c>
      <c r="U39" s="15">
        <v>2.61028808484811</v>
      </c>
      <c r="V39" s="15" t="s">
        <v>56</v>
      </c>
      <c r="W39" s="15" t="s">
        <v>48</v>
      </c>
      <c r="X39" s="15">
        <v>183.932968043594</v>
      </c>
    </row>
    <row r="40" spans="1:24" x14ac:dyDescent="0.35">
      <c r="A40" s="6" t="s">
        <v>57</v>
      </c>
      <c r="B40" s="6" t="s">
        <v>92</v>
      </c>
      <c r="C40" s="7">
        <v>52.075930682707799</v>
      </c>
      <c r="D40" s="8">
        <v>75</v>
      </c>
      <c r="E40" s="8">
        <v>705</v>
      </c>
      <c r="F40" s="9">
        <v>9692.3180402184298</v>
      </c>
      <c r="G40" s="6" t="s">
        <v>26</v>
      </c>
      <c r="H40" s="8">
        <v>69</v>
      </c>
      <c r="I40" s="8">
        <v>88</v>
      </c>
      <c r="J40" s="10">
        <v>1</v>
      </c>
      <c r="K40" s="10" t="s">
        <v>44</v>
      </c>
      <c r="L40" s="8">
        <v>5</v>
      </c>
      <c r="M40" s="10" t="s">
        <v>27</v>
      </c>
      <c r="N40" s="10">
        <v>9.2359314372492207</v>
      </c>
      <c r="O40" s="10" t="s">
        <v>29</v>
      </c>
      <c r="P40" s="10">
        <v>10</v>
      </c>
      <c r="Q40" s="10">
        <v>841</v>
      </c>
      <c r="R40" s="10">
        <v>12</v>
      </c>
      <c r="S40" s="10">
        <v>5.9306936455283097</v>
      </c>
      <c r="T40" s="10" t="s">
        <v>30</v>
      </c>
      <c r="U40" s="10">
        <v>0.613326899164507</v>
      </c>
      <c r="V40" s="10" t="s">
        <v>40</v>
      </c>
      <c r="W40" s="10" t="s">
        <v>32</v>
      </c>
      <c r="X40" s="10">
        <v>339.67286994860598</v>
      </c>
    </row>
    <row r="41" spans="1:24" x14ac:dyDescent="0.35">
      <c r="A41" s="11" t="s">
        <v>33</v>
      </c>
      <c r="B41" s="11" t="s">
        <v>93</v>
      </c>
      <c r="C41" s="12">
        <v>19.127477265823199</v>
      </c>
      <c r="D41" s="13">
        <v>26</v>
      </c>
      <c r="E41" s="13">
        <v>176</v>
      </c>
      <c r="F41" s="14">
        <v>1912.4656631007599</v>
      </c>
      <c r="G41" s="11" t="s">
        <v>35</v>
      </c>
      <c r="H41" s="13">
        <v>78</v>
      </c>
      <c r="I41" s="13">
        <v>34</v>
      </c>
      <c r="J41" s="15">
        <v>29</v>
      </c>
      <c r="K41" s="15" t="s">
        <v>61</v>
      </c>
      <c r="L41" s="13">
        <v>3</v>
      </c>
      <c r="M41" s="15" t="s">
        <v>36</v>
      </c>
      <c r="N41" s="15">
        <v>5.5625037788303802</v>
      </c>
      <c r="O41" s="15" t="s">
        <v>45</v>
      </c>
      <c r="P41" s="15">
        <v>30</v>
      </c>
      <c r="Q41" s="15">
        <v>791</v>
      </c>
      <c r="R41" s="15">
        <v>6</v>
      </c>
      <c r="S41" s="15">
        <v>9.0058074287816403</v>
      </c>
      <c r="T41" s="15" t="s">
        <v>46</v>
      </c>
      <c r="U41" s="15">
        <v>1.4519722039968099</v>
      </c>
      <c r="V41" s="15" t="s">
        <v>40</v>
      </c>
      <c r="W41" s="15" t="s">
        <v>32</v>
      </c>
      <c r="X41" s="15">
        <v>653.67299455203295</v>
      </c>
    </row>
    <row r="42" spans="1:24" x14ac:dyDescent="0.35">
      <c r="A42" s="6" t="s">
        <v>33</v>
      </c>
      <c r="B42" s="6" t="s">
        <v>94</v>
      </c>
      <c r="C42" s="7">
        <v>80.541424170940303</v>
      </c>
      <c r="D42" s="8">
        <v>97</v>
      </c>
      <c r="E42" s="8">
        <v>933</v>
      </c>
      <c r="F42" s="9">
        <v>5724.9593504562599</v>
      </c>
      <c r="G42" s="6" t="s">
        <v>35</v>
      </c>
      <c r="H42" s="8">
        <v>90</v>
      </c>
      <c r="I42" s="8">
        <v>39</v>
      </c>
      <c r="J42" s="10">
        <v>20</v>
      </c>
      <c r="K42" s="10" t="s">
        <v>39</v>
      </c>
      <c r="L42" s="8">
        <v>8</v>
      </c>
      <c r="M42" s="10" t="s">
        <v>43</v>
      </c>
      <c r="N42" s="10">
        <v>7.2295951397364702</v>
      </c>
      <c r="O42" s="10" t="s">
        <v>45</v>
      </c>
      <c r="P42" s="10">
        <v>18</v>
      </c>
      <c r="Q42" s="10">
        <v>793</v>
      </c>
      <c r="R42" s="10">
        <v>1</v>
      </c>
      <c r="S42" s="10">
        <v>88.179407104217404</v>
      </c>
      <c r="T42" s="10" t="s">
        <v>30</v>
      </c>
      <c r="U42" s="10">
        <v>4.2132694305865597</v>
      </c>
      <c r="V42" s="10" t="s">
        <v>31</v>
      </c>
      <c r="W42" s="10" t="s">
        <v>48</v>
      </c>
      <c r="X42" s="10">
        <v>529.80872398069096</v>
      </c>
    </row>
    <row r="43" spans="1:24" x14ac:dyDescent="0.35">
      <c r="A43" s="11" t="s">
        <v>33</v>
      </c>
      <c r="B43" s="11" t="s">
        <v>95</v>
      </c>
      <c r="C43" s="12">
        <v>99.113291615317095</v>
      </c>
      <c r="D43" s="13">
        <v>35</v>
      </c>
      <c r="E43" s="13">
        <v>556</v>
      </c>
      <c r="F43" s="14">
        <v>5521.2052590109697</v>
      </c>
      <c r="G43" s="11" t="s">
        <v>35</v>
      </c>
      <c r="H43" s="13">
        <v>64</v>
      </c>
      <c r="I43" s="13">
        <v>38</v>
      </c>
      <c r="J43" s="15">
        <v>19</v>
      </c>
      <c r="K43" s="15" t="s">
        <v>52</v>
      </c>
      <c r="L43" s="13">
        <v>8</v>
      </c>
      <c r="M43" s="15" t="s">
        <v>27</v>
      </c>
      <c r="N43" s="15">
        <v>5.7732637437666501</v>
      </c>
      <c r="O43" s="15" t="s">
        <v>62</v>
      </c>
      <c r="P43" s="15">
        <v>18</v>
      </c>
      <c r="Q43" s="15">
        <v>892</v>
      </c>
      <c r="R43" s="15">
        <v>7</v>
      </c>
      <c r="S43" s="15">
        <v>95.332064548772493</v>
      </c>
      <c r="T43" s="15" t="s">
        <v>46</v>
      </c>
      <c r="U43" s="15">
        <v>4.5302262398259602E-2</v>
      </c>
      <c r="V43" s="15" t="s">
        <v>56</v>
      </c>
      <c r="W43" s="15" t="s">
        <v>48</v>
      </c>
      <c r="X43" s="15">
        <v>275.52437113130901</v>
      </c>
    </row>
    <row r="44" spans="1:24" x14ac:dyDescent="0.35">
      <c r="A44" s="6" t="s">
        <v>33</v>
      </c>
      <c r="B44" s="6" t="s">
        <v>96</v>
      </c>
      <c r="C44" s="7">
        <v>46.529167614516702</v>
      </c>
      <c r="D44" s="8">
        <v>98</v>
      </c>
      <c r="E44" s="8">
        <v>155</v>
      </c>
      <c r="F44" s="9">
        <v>1839.60942585676</v>
      </c>
      <c r="G44" s="6" t="s">
        <v>35</v>
      </c>
      <c r="H44" s="8">
        <v>22</v>
      </c>
      <c r="I44" s="8">
        <v>57</v>
      </c>
      <c r="J44" s="10">
        <v>27</v>
      </c>
      <c r="K44" s="10" t="s">
        <v>44</v>
      </c>
      <c r="L44" s="8">
        <v>4</v>
      </c>
      <c r="M44" s="10" t="s">
        <v>43</v>
      </c>
      <c r="N44" s="10">
        <v>7.5262483268515004</v>
      </c>
      <c r="O44" s="10" t="s">
        <v>53</v>
      </c>
      <c r="P44" s="10">
        <v>26</v>
      </c>
      <c r="Q44" s="10">
        <v>179</v>
      </c>
      <c r="R44" s="10">
        <v>7</v>
      </c>
      <c r="S44" s="10">
        <v>96.422820639571796</v>
      </c>
      <c r="T44" s="10" t="s">
        <v>46</v>
      </c>
      <c r="U44" s="10">
        <v>4.9392552886209398</v>
      </c>
      <c r="V44" s="10" t="s">
        <v>31</v>
      </c>
      <c r="W44" s="10" t="s">
        <v>48</v>
      </c>
      <c r="X44" s="10">
        <v>635.65712050199102</v>
      </c>
    </row>
    <row r="45" spans="1:24" x14ac:dyDescent="0.35">
      <c r="A45" s="11" t="s">
        <v>24</v>
      </c>
      <c r="B45" s="11" t="s">
        <v>97</v>
      </c>
      <c r="C45" s="12">
        <v>11.7432717763092</v>
      </c>
      <c r="D45" s="13">
        <v>6</v>
      </c>
      <c r="E45" s="13">
        <v>598</v>
      </c>
      <c r="F45" s="14">
        <v>5737.4255991190203</v>
      </c>
      <c r="G45" s="11" t="s">
        <v>38</v>
      </c>
      <c r="H45" s="13">
        <v>36</v>
      </c>
      <c r="I45" s="13">
        <v>85</v>
      </c>
      <c r="J45" s="15">
        <v>29</v>
      </c>
      <c r="K45" s="15" t="s">
        <v>44</v>
      </c>
      <c r="L45" s="13">
        <v>9</v>
      </c>
      <c r="M45" s="15" t="s">
        <v>27</v>
      </c>
      <c r="N45" s="15">
        <v>3.6940212683884499</v>
      </c>
      <c r="O45" s="15" t="s">
        <v>29</v>
      </c>
      <c r="P45" s="15">
        <v>1</v>
      </c>
      <c r="Q45" s="15">
        <v>206</v>
      </c>
      <c r="R45" s="15">
        <v>23</v>
      </c>
      <c r="S45" s="15">
        <v>26.2773659573324</v>
      </c>
      <c r="T45" s="15" t="s">
        <v>30</v>
      </c>
      <c r="U45" s="15">
        <v>0.37230476798509698</v>
      </c>
      <c r="V45" s="15" t="s">
        <v>40</v>
      </c>
      <c r="W45" s="15" t="s">
        <v>48</v>
      </c>
      <c r="X45" s="15">
        <v>716.04411975933999</v>
      </c>
    </row>
    <row r="46" spans="1:24" x14ac:dyDescent="0.35">
      <c r="A46" s="6" t="s">
        <v>57</v>
      </c>
      <c r="B46" s="6" t="s">
        <v>98</v>
      </c>
      <c r="C46" s="7">
        <v>51.355790913110297</v>
      </c>
      <c r="D46" s="8">
        <v>34</v>
      </c>
      <c r="E46" s="8">
        <v>919</v>
      </c>
      <c r="F46" s="9">
        <v>7152.28604943551</v>
      </c>
      <c r="G46" s="6" t="s">
        <v>35</v>
      </c>
      <c r="H46" s="8">
        <v>13</v>
      </c>
      <c r="I46" s="8">
        <v>72</v>
      </c>
      <c r="J46" s="10">
        <v>19</v>
      </c>
      <c r="K46" s="10" t="s">
        <v>61</v>
      </c>
      <c r="L46" s="8">
        <v>6</v>
      </c>
      <c r="M46" s="10" t="s">
        <v>43</v>
      </c>
      <c r="N46" s="10">
        <v>7.5774496573766896</v>
      </c>
      <c r="O46" s="10" t="s">
        <v>50</v>
      </c>
      <c r="P46" s="10">
        <v>7</v>
      </c>
      <c r="Q46" s="10">
        <v>834</v>
      </c>
      <c r="R46" s="10">
        <v>18</v>
      </c>
      <c r="S46" s="10">
        <v>22.554106620887701</v>
      </c>
      <c r="T46" s="10" t="s">
        <v>46</v>
      </c>
      <c r="U46" s="10">
        <v>2.9626263204548802</v>
      </c>
      <c r="V46" s="10" t="s">
        <v>47</v>
      </c>
      <c r="W46" s="10" t="s">
        <v>48</v>
      </c>
      <c r="X46" s="10">
        <v>610.45326961922694</v>
      </c>
    </row>
    <row r="47" spans="1:24" x14ac:dyDescent="0.35">
      <c r="A47" s="11" t="s">
        <v>24</v>
      </c>
      <c r="B47" s="11" t="s">
        <v>99</v>
      </c>
      <c r="C47" s="12">
        <v>33.784138033065503</v>
      </c>
      <c r="D47" s="13">
        <v>1</v>
      </c>
      <c r="E47" s="13">
        <v>24</v>
      </c>
      <c r="F47" s="14">
        <v>5267.9568075105199</v>
      </c>
      <c r="G47" s="11" t="s">
        <v>55</v>
      </c>
      <c r="H47" s="13">
        <v>93</v>
      </c>
      <c r="I47" s="13">
        <v>52</v>
      </c>
      <c r="J47" s="15">
        <v>7</v>
      </c>
      <c r="K47" s="15" t="s">
        <v>61</v>
      </c>
      <c r="L47" s="13">
        <v>6</v>
      </c>
      <c r="M47" s="15" t="s">
        <v>27</v>
      </c>
      <c r="N47" s="15">
        <v>5.2151550087119096</v>
      </c>
      <c r="O47" s="15" t="s">
        <v>62</v>
      </c>
      <c r="P47" s="15">
        <v>25</v>
      </c>
      <c r="Q47" s="15">
        <v>794</v>
      </c>
      <c r="R47" s="15">
        <v>25</v>
      </c>
      <c r="S47" s="15">
        <v>66.312544439991598</v>
      </c>
      <c r="T47" s="15" t="s">
        <v>64</v>
      </c>
      <c r="U47" s="15">
        <v>3.2196046120841002</v>
      </c>
      <c r="V47" s="15" t="s">
        <v>47</v>
      </c>
      <c r="W47" s="15" t="s">
        <v>48</v>
      </c>
      <c r="X47" s="15">
        <v>495.30569702847299</v>
      </c>
    </row>
    <row r="48" spans="1:24" x14ac:dyDescent="0.35">
      <c r="A48" s="6" t="s">
        <v>24</v>
      </c>
      <c r="B48" s="6" t="s">
        <v>100</v>
      </c>
      <c r="C48" s="7">
        <v>27.082207199888899</v>
      </c>
      <c r="D48" s="8">
        <v>75</v>
      </c>
      <c r="E48" s="8">
        <v>859</v>
      </c>
      <c r="F48" s="9">
        <v>2556.7673606335902</v>
      </c>
      <c r="G48" s="6" t="s">
        <v>26</v>
      </c>
      <c r="H48" s="8">
        <v>92</v>
      </c>
      <c r="I48" s="8">
        <v>6</v>
      </c>
      <c r="J48" s="10">
        <v>29</v>
      </c>
      <c r="K48" s="10" t="s">
        <v>28</v>
      </c>
      <c r="L48" s="8">
        <v>8</v>
      </c>
      <c r="M48" s="10" t="s">
        <v>27</v>
      </c>
      <c r="N48" s="10">
        <v>4.0709558370840799</v>
      </c>
      <c r="O48" s="10" t="s">
        <v>62</v>
      </c>
      <c r="P48" s="10">
        <v>18</v>
      </c>
      <c r="Q48" s="10">
        <v>870</v>
      </c>
      <c r="R48" s="10">
        <v>23</v>
      </c>
      <c r="S48" s="10">
        <v>77.322353211051606</v>
      </c>
      <c r="T48" s="10" t="s">
        <v>30</v>
      </c>
      <c r="U48" s="10">
        <v>3.6486105925361998</v>
      </c>
      <c r="V48" s="10" t="s">
        <v>31</v>
      </c>
      <c r="W48" s="10" t="s">
        <v>32</v>
      </c>
      <c r="X48" s="10">
        <v>380.43593711196399</v>
      </c>
    </row>
    <row r="49" spans="1:24" x14ac:dyDescent="0.35">
      <c r="A49" s="11" t="s">
        <v>33</v>
      </c>
      <c r="B49" s="11" t="s">
        <v>101</v>
      </c>
      <c r="C49" s="12">
        <v>95.712135880936003</v>
      </c>
      <c r="D49" s="13">
        <v>93</v>
      </c>
      <c r="E49" s="13">
        <v>910</v>
      </c>
      <c r="F49" s="14">
        <v>7089.4742499341801</v>
      </c>
      <c r="G49" s="11" t="s">
        <v>55</v>
      </c>
      <c r="H49" s="13">
        <v>4</v>
      </c>
      <c r="I49" s="13">
        <v>51</v>
      </c>
      <c r="J49" s="15">
        <v>15</v>
      </c>
      <c r="K49" s="15" t="s">
        <v>39</v>
      </c>
      <c r="L49" s="13">
        <v>9</v>
      </c>
      <c r="M49" s="15" t="s">
        <v>27</v>
      </c>
      <c r="N49" s="15">
        <v>8.9787507559499709</v>
      </c>
      <c r="O49" s="15" t="s">
        <v>45</v>
      </c>
      <c r="P49" s="15">
        <v>10</v>
      </c>
      <c r="Q49" s="15">
        <v>964</v>
      </c>
      <c r="R49" s="15">
        <v>20</v>
      </c>
      <c r="S49" s="15">
        <v>19.7129929112936</v>
      </c>
      <c r="T49" s="15" t="s">
        <v>30</v>
      </c>
      <c r="U49" s="15">
        <v>0.38057358671321301</v>
      </c>
      <c r="V49" s="15" t="s">
        <v>47</v>
      </c>
      <c r="W49" s="15" t="s">
        <v>48</v>
      </c>
      <c r="X49" s="15">
        <v>581.60235505058597</v>
      </c>
    </row>
    <row r="50" spans="1:24" x14ac:dyDescent="0.35">
      <c r="A50" s="6" t="s">
        <v>24</v>
      </c>
      <c r="B50" s="6" t="s">
        <v>102</v>
      </c>
      <c r="C50" s="7">
        <v>76.035544426891704</v>
      </c>
      <c r="D50" s="8">
        <v>28</v>
      </c>
      <c r="E50" s="8">
        <v>29</v>
      </c>
      <c r="F50" s="9">
        <v>7397.0710045871801</v>
      </c>
      <c r="G50" s="6" t="s">
        <v>26</v>
      </c>
      <c r="H50" s="8">
        <v>30</v>
      </c>
      <c r="I50" s="8">
        <v>9</v>
      </c>
      <c r="J50" s="10">
        <v>16</v>
      </c>
      <c r="K50" s="10" t="s">
        <v>61</v>
      </c>
      <c r="L50" s="8">
        <v>3</v>
      </c>
      <c r="M50" s="10" t="s">
        <v>43</v>
      </c>
      <c r="N50" s="10">
        <v>7.0958331565551296</v>
      </c>
      <c r="O50" s="10" t="s">
        <v>29</v>
      </c>
      <c r="P50" s="10">
        <v>9</v>
      </c>
      <c r="Q50" s="10">
        <v>109</v>
      </c>
      <c r="R50" s="10">
        <v>18</v>
      </c>
      <c r="S50" s="10">
        <v>23.126363582464698</v>
      </c>
      <c r="T50" s="10" t="s">
        <v>46</v>
      </c>
      <c r="U50" s="10">
        <v>1.6981125407144</v>
      </c>
      <c r="V50" s="10" t="s">
        <v>47</v>
      </c>
      <c r="W50" s="10" t="s">
        <v>32</v>
      </c>
      <c r="X50" s="10">
        <v>768.65191395437</v>
      </c>
    </row>
    <row r="51" spans="1:24" x14ac:dyDescent="0.35">
      <c r="A51" s="11" t="s">
        <v>57</v>
      </c>
      <c r="B51" s="11" t="s">
        <v>103</v>
      </c>
      <c r="C51" s="12">
        <v>78.897913205639995</v>
      </c>
      <c r="D51" s="13">
        <v>19</v>
      </c>
      <c r="E51" s="13">
        <v>99</v>
      </c>
      <c r="F51" s="14">
        <v>8001.6132065190004</v>
      </c>
      <c r="G51" s="11" t="s">
        <v>38</v>
      </c>
      <c r="H51" s="13">
        <v>97</v>
      </c>
      <c r="I51" s="13">
        <v>9</v>
      </c>
      <c r="J51" s="15">
        <v>24</v>
      </c>
      <c r="K51" s="15" t="s">
        <v>44</v>
      </c>
      <c r="L51" s="13">
        <v>6</v>
      </c>
      <c r="M51" s="15" t="s">
        <v>43</v>
      </c>
      <c r="N51" s="15">
        <v>2.5056210329009101</v>
      </c>
      <c r="O51" s="15" t="s">
        <v>50</v>
      </c>
      <c r="P51" s="15">
        <v>28</v>
      </c>
      <c r="Q51" s="15">
        <v>177</v>
      </c>
      <c r="R51" s="15">
        <v>28</v>
      </c>
      <c r="S51" s="15">
        <v>14.1478154439792</v>
      </c>
      <c r="T51" s="15" t="s">
        <v>64</v>
      </c>
      <c r="U51" s="15">
        <v>2.8258139854001301</v>
      </c>
      <c r="V51" s="15" t="s">
        <v>47</v>
      </c>
      <c r="W51" s="15" t="s">
        <v>48</v>
      </c>
      <c r="X51" s="15">
        <v>336.89016851997701</v>
      </c>
    </row>
    <row r="52" spans="1:24" x14ac:dyDescent="0.35">
      <c r="A52" s="6" t="s">
        <v>57</v>
      </c>
      <c r="B52" s="6" t="s">
        <v>104</v>
      </c>
      <c r="C52" s="7">
        <v>14.203484264803</v>
      </c>
      <c r="D52" s="8">
        <v>91</v>
      </c>
      <c r="E52" s="8">
        <v>633</v>
      </c>
      <c r="F52" s="9">
        <v>5910.8853896688897</v>
      </c>
      <c r="G52" s="6" t="s">
        <v>35</v>
      </c>
      <c r="H52" s="8">
        <v>31</v>
      </c>
      <c r="I52" s="8">
        <v>82</v>
      </c>
      <c r="J52" s="10">
        <v>23</v>
      </c>
      <c r="K52" s="10" t="s">
        <v>61</v>
      </c>
      <c r="L52" s="8">
        <v>10</v>
      </c>
      <c r="M52" s="10" t="s">
        <v>36</v>
      </c>
      <c r="N52" s="10">
        <v>6.2478609149759903</v>
      </c>
      <c r="O52" s="10" t="s">
        <v>50</v>
      </c>
      <c r="P52" s="10">
        <v>20</v>
      </c>
      <c r="Q52" s="10">
        <v>306</v>
      </c>
      <c r="R52" s="10">
        <v>21</v>
      </c>
      <c r="S52" s="10">
        <v>45.178757924634503</v>
      </c>
      <c r="T52" s="10" t="s">
        <v>46</v>
      </c>
      <c r="U52" s="10">
        <v>4.7548008046711798</v>
      </c>
      <c r="V52" s="10" t="s">
        <v>47</v>
      </c>
      <c r="W52" s="10" t="s">
        <v>32</v>
      </c>
      <c r="X52" s="10">
        <v>496.24865029194001</v>
      </c>
    </row>
    <row r="53" spans="1:24" x14ac:dyDescent="0.35">
      <c r="A53" s="11" t="s">
        <v>24</v>
      </c>
      <c r="B53" s="11" t="s">
        <v>105</v>
      </c>
      <c r="C53" s="12">
        <v>26.700760972461701</v>
      </c>
      <c r="D53" s="13">
        <v>61</v>
      </c>
      <c r="E53" s="13">
        <v>154</v>
      </c>
      <c r="F53" s="14">
        <v>9866.4654579796897</v>
      </c>
      <c r="G53" s="11" t="s">
        <v>55</v>
      </c>
      <c r="H53" s="13">
        <v>100</v>
      </c>
      <c r="I53" s="13">
        <v>52</v>
      </c>
      <c r="J53" s="15">
        <v>4</v>
      </c>
      <c r="K53" s="15" t="s">
        <v>44</v>
      </c>
      <c r="L53" s="13">
        <v>1</v>
      </c>
      <c r="M53" s="15" t="s">
        <v>36</v>
      </c>
      <c r="N53" s="15">
        <v>4.78300055794766</v>
      </c>
      <c r="O53" s="15" t="s">
        <v>53</v>
      </c>
      <c r="P53" s="15">
        <v>18</v>
      </c>
      <c r="Q53" s="15">
        <v>673</v>
      </c>
      <c r="R53" s="15">
        <v>28</v>
      </c>
      <c r="S53" s="15">
        <v>14.190328344569901</v>
      </c>
      <c r="T53" s="15" t="s">
        <v>30</v>
      </c>
      <c r="U53" s="15">
        <v>1.77295117208355</v>
      </c>
      <c r="V53" s="15" t="s">
        <v>31</v>
      </c>
      <c r="W53" s="15" t="s">
        <v>48</v>
      </c>
      <c r="X53" s="15">
        <v>694.98231757944495</v>
      </c>
    </row>
    <row r="54" spans="1:24" x14ac:dyDescent="0.35">
      <c r="A54" s="6" t="s">
        <v>33</v>
      </c>
      <c r="B54" s="6" t="s">
        <v>106</v>
      </c>
      <c r="C54" s="7">
        <v>98.031829656465007</v>
      </c>
      <c r="D54" s="8">
        <v>1</v>
      </c>
      <c r="E54" s="8">
        <v>820</v>
      </c>
      <c r="F54" s="9">
        <v>9435.7626089121295</v>
      </c>
      <c r="G54" s="6" t="s">
        <v>55</v>
      </c>
      <c r="H54" s="8">
        <v>64</v>
      </c>
      <c r="I54" s="8">
        <v>11</v>
      </c>
      <c r="J54" s="10">
        <v>11</v>
      </c>
      <c r="K54" s="10" t="s">
        <v>39</v>
      </c>
      <c r="L54" s="8">
        <v>1</v>
      </c>
      <c r="M54" s="10" t="s">
        <v>27</v>
      </c>
      <c r="N54" s="10">
        <v>8.6310521797689397</v>
      </c>
      <c r="O54" s="10" t="s">
        <v>29</v>
      </c>
      <c r="P54" s="10">
        <v>10</v>
      </c>
      <c r="Q54" s="10">
        <v>727</v>
      </c>
      <c r="R54" s="10">
        <v>27</v>
      </c>
      <c r="S54" s="10">
        <v>9.1668491485971497</v>
      </c>
      <c r="T54" s="10" t="s">
        <v>30</v>
      </c>
      <c r="U54" s="10">
        <v>2.1224716191438202</v>
      </c>
      <c r="V54" s="10" t="s">
        <v>40</v>
      </c>
      <c r="W54" s="10" t="s">
        <v>41</v>
      </c>
      <c r="X54" s="10">
        <v>602.89849883838303</v>
      </c>
    </row>
    <row r="55" spans="1:24" x14ac:dyDescent="0.35">
      <c r="A55" s="11" t="s">
        <v>33</v>
      </c>
      <c r="B55" s="11" t="s">
        <v>107</v>
      </c>
      <c r="C55" s="12">
        <v>30.3414707112142</v>
      </c>
      <c r="D55" s="13">
        <v>93</v>
      </c>
      <c r="E55" s="13">
        <v>242</v>
      </c>
      <c r="F55" s="14">
        <v>8232.3348294258194</v>
      </c>
      <c r="G55" s="11" t="s">
        <v>55</v>
      </c>
      <c r="H55" s="13">
        <v>96</v>
      </c>
      <c r="I55" s="13">
        <v>54</v>
      </c>
      <c r="J55" s="15">
        <v>25</v>
      </c>
      <c r="K55" s="15" t="s">
        <v>39</v>
      </c>
      <c r="L55" s="13">
        <v>3</v>
      </c>
      <c r="M55" s="15" t="s">
        <v>27</v>
      </c>
      <c r="N55" s="15">
        <v>1.0134865660958901</v>
      </c>
      <c r="O55" s="15" t="s">
        <v>50</v>
      </c>
      <c r="P55" s="15">
        <v>1</v>
      </c>
      <c r="Q55" s="15">
        <v>631</v>
      </c>
      <c r="R55" s="15">
        <v>17</v>
      </c>
      <c r="S55" s="15">
        <v>83.344058991677898</v>
      </c>
      <c r="T55" s="15" t="s">
        <v>30</v>
      </c>
      <c r="U55" s="15">
        <v>1.41034757607602</v>
      </c>
      <c r="V55" s="15" t="s">
        <v>40</v>
      </c>
      <c r="W55" s="15" t="s">
        <v>32</v>
      </c>
      <c r="X55" s="15">
        <v>750.73784066827</v>
      </c>
    </row>
    <row r="56" spans="1:24" x14ac:dyDescent="0.35">
      <c r="A56" s="6" t="s">
        <v>24</v>
      </c>
      <c r="B56" s="6" t="s">
        <v>108</v>
      </c>
      <c r="C56" s="7">
        <v>31.1462431602408</v>
      </c>
      <c r="D56" s="8">
        <v>11</v>
      </c>
      <c r="E56" s="8">
        <v>622</v>
      </c>
      <c r="F56" s="9">
        <v>6088.0214799408504</v>
      </c>
      <c r="G56" s="6" t="s">
        <v>26</v>
      </c>
      <c r="H56" s="8">
        <v>33</v>
      </c>
      <c r="I56" s="8">
        <v>61</v>
      </c>
      <c r="J56" s="10">
        <v>22</v>
      </c>
      <c r="K56" s="10" t="s">
        <v>39</v>
      </c>
      <c r="L56" s="8">
        <v>3</v>
      </c>
      <c r="M56" s="10" t="s">
        <v>27</v>
      </c>
      <c r="N56" s="10">
        <v>4.3051034712876302</v>
      </c>
      <c r="O56" s="10" t="s">
        <v>45</v>
      </c>
      <c r="P56" s="10">
        <v>26</v>
      </c>
      <c r="Q56" s="10">
        <v>497</v>
      </c>
      <c r="R56" s="10">
        <v>29</v>
      </c>
      <c r="S56" s="10">
        <v>30.186023375822501</v>
      </c>
      <c r="T56" s="10" t="s">
        <v>64</v>
      </c>
      <c r="U56" s="10">
        <v>2.4787719755397402</v>
      </c>
      <c r="V56" s="10" t="s">
        <v>31</v>
      </c>
      <c r="W56" s="10" t="s">
        <v>32</v>
      </c>
      <c r="X56" s="10">
        <v>814.06999658218695</v>
      </c>
    </row>
    <row r="57" spans="1:24" x14ac:dyDescent="0.35">
      <c r="A57" s="11" t="s">
        <v>24</v>
      </c>
      <c r="B57" s="11" t="s">
        <v>109</v>
      </c>
      <c r="C57" s="12">
        <v>79.855058340789398</v>
      </c>
      <c r="D57" s="13">
        <v>16</v>
      </c>
      <c r="E57" s="13">
        <v>701</v>
      </c>
      <c r="F57" s="14">
        <v>2925.6751703038099</v>
      </c>
      <c r="G57" s="11" t="s">
        <v>55</v>
      </c>
      <c r="H57" s="13">
        <v>97</v>
      </c>
      <c r="I57" s="13">
        <v>11</v>
      </c>
      <c r="J57" s="15">
        <v>11</v>
      </c>
      <c r="K57" s="15" t="s">
        <v>61</v>
      </c>
      <c r="L57" s="13">
        <v>5</v>
      </c>
      <c r="M57" s="15" t="s">
        <v>36</v>
      </c>
      <c r="N57" s="15">
        <v>5.0143649550309002</v>
      </c>
      <c r="O57" s="15" t="s">
        <v>50</v>
      </c>
      <c r="P57" s="15">
        <v>27</v>
      </c>
      <c r="Q57" s="15">
        <v>918</v>
      </c>
      <c r="R57" s="15">
        <v>5</v>
      </c>
      <c r="S57" s="15">
        <v>30.323545256616502</v>
      </c>
      <c r="T57" s="15" t="s">
        <v>46</v>
      </c>
      <c r="U57" s="15">
        <v>4.5489196593963799</v>
      </c>
      <c r="V57" s="15" t="s">
        <v>56</v>
      </c>
      <c r="W57" s="15" t="s">
        <v>32</v>
      </c>
      <c r="X57" s="15">
        <v>323.01292795247798</v>
      </c>
    </row>
    <row r="58" spans="1:24" x14ac:dyDescent="0.35">
      <c r="A58" s="6" t="s">
        <v>33</v>
      </c>
      <c r="B58" s="6" t="s">
        <v>110</v>
      </c>
      <c r="C58" s="7">
        <v>20.9863860370433</v>
      </c>
      <c r="D58" s="8">
        <v>90</v>
      </c>
      <c r="E58" s="8">
        <v>93</v>
      </c>
      <c r="F58" s="9">
        <v>4767.0204843441297</v>
      </c>
      <c r="G58" s="6" t="s">
        <v>26</v>
      </c>
      <c r="H58" s="8">
        <v>25</v>
      </c>
      <c r="I58" s="8">
        <v>83</v>
      </c>
      <c r="J58" s="10">
        <v>23</v>
      </c>
      <c r="K58" s="10" t="s">
        <v>39</v>
      </c>
      <c r="L58" s="8">
        <v>5</v>
      </c>
      <c r="M58" s="10" t="s">
        <v>43</v>
      </c>
      <c r="N58" s="10">
        <v>1.77442971407173</v>
      </c>
      <c r="O58" s="10" t="s">
        <v>29</v>
      </c>
      <c r="P58" s="10">
        <v>24</v>
      </c>
      <c r="Q58" s="10">
        <v>826</v>
      </c>
      <c r="R58" s="10">
        <v>28</v>
      </c>
      <c r="S58" s="10">
        <v>12.8362845728327</v>
      </c>
      <c r="T58" s="10" t="s">
        <v>64</v>
      </c>
      <c r="U58" s="10">
        <v>1.1737554953874501</v>
      </c>
      <c r="V58" s="10" t="s">
        <v>40</v>
      </c>
      <c r="W58" s="10" t="s">
        <v>32</v>
      </c>
      <c r="X58" s="10">
        <v>832.210808706021</v>
      </c>
    </row>
    <row r="59" spans="1:24" x14ac:dyDescent="0.35">
      <c r="A59" s="11" t="s">
        <v>24</v>
      </c>
      <c r="B59" s="11" t="s">
        <v>111</v>
      </c>
      <c r="C59" s="12">
        <v>49.263205350734097</v>
      </c>
      <c r="D59" s="13">
        <v>65</v>
      </c>
      <c r="E59" s="13">
        <v>227</v>
      </c>
      <c r="F59" s="14">
        <v>1605.8669003924001</v>
      </c>
      <c r="G59" s="11" t="s">
        <v>38</v>
      </c>
      <c r="H59" s="13">
        <v>5</v>
      </c>
      <c r="I59" s="13">
        <v>51</v>
      </c>
      <c r="J59" s="15">
        <v>18</v>
      </c>
      <c r="K59" s="15" t="s">
        <v>61</v>
      </c>
      <c r="L59" s="13">
        <v>1</v>
      </c>
      <c r="M59" s="15" t="s">
        <v>27</v>
      </c>
      <c r="N59" s="15">
        <v>9.1605585353818704</v>
      </c>
      <c r="O59" s="15" t="s">
        <v>50</v>
      </c>
      <c r="P59" s="15">
        <v>21</v>
      </c>
      <c r="Q59" s="15">
        <v>588</v>
      </c>
      <c r="R59" s="15">
        <v>25</v>
      </c>
      <c r="S59" s="15">
        <v>67.779622987078099</v>
      </c>
      <c r="T59" s="15" t="s">
        <v>30</v>
      </c>
      <c r="U59" s="15">
        <v>2.5111748302126999</v>
      </c>
      <c r="V59" s="15" t="s">
        <v>47</v>
      </c>
      <c r="W59" s="15" t="s">
        <v>48</v>
      </c>
      <c r="X59" s="15">
        <v>482.19123860252802</v>
      </c>
    </row>
    <row r="60" spans="1:24" x14ac:dyDescent="0.35">
      <c r="A60" s="6" t="s">
        <v>33</v>
      </c>
      <c r="B60" s="6" t="s">
        <v>112</v>
      </c>
      <c r="C60" s="7">
        <v>59.841561377289302</v>
      </c>
      <c r="D60" s="8">
        <v>81</v>
      </c>
      <c r="E60" s="8">
        <v>896</v>
      </c>
      <c r="F60" s="9">
        <v>2021.1498103371</v>
      </c>
      <c r="G60" s="6" t="s">
        <v>26</v>
      </c>
      <c r="H60" s="8">
        <v>10</v>
      </c>
      <c r="I60" s="8">
        <v>44</v>
      </c>
      <c r="J60" s="10">
        <v>5</v>
      </c>
      <c r="K60" s="10" t="s">
        <v>28</v>
      </c>
      <c r="L60" s="8">
        <v>7</v>
      </c>
      <c r="M60" s="10" t="s">
        <v>36</v>
      </c>
      <c r="N60" s="10">
        <v>4.9384385647120901</v>
      </c>
      <c r="O60" s="10" t="s">
        <v>50</v>
      </c>
      <c r="P60" s="10">
        <v>18</v>
      </c>
      <c r="Q60" s="10">
        <v>396</v>
      </c>
      <c r="R60" s="10">
        <v>7</v>
      </c>
      <c r="S60" s="10">
        <v>65.047415094691402</v>
      </c>
      <c r="T60" s="10" t="s">
        <v>46</v>
      </c>
      <c r="U60" s="10">
        <v>1.7303747198591899</v>
      </c>
      <c r="V60" s="10" t="s">
        <v>31</v>
      </c>
      <c r="W60" s="10" t="s">
        <v>32</v>
      </c>
      <c r="X60" s="10">
        <v>110.364335231364</v>
      </c>
    </row>
    <row r="61" spans="1:24" x14ac:dyDescent="0.35">
      <c r="A61" s="11" t="s">
        <v>57</v>
      </c>
      <c r="B61" s="11" t="s">
        <v>113</v>
      </c>
      <c r="C61" s="12">
        <v>63.828398347710902</v>
      </c>
      <c r="D61" s="13">
        <v>30</v>
      </c>
      <c r="E61" s="13">
        <v>484</v>
      </c>
      <c r="F61" s="14">
        <v>1061.6185230132801</v>
      </c>
      <c r="G61" s="11" t="s">
        <v>26</v>
      </c>
      <c r="H61" s="13">
        <v>100</v>
      </c>
      <c r="I61" s="13">
        <v>26</v>
      </c>
      <c r="J61" s="15">
        <v>16</v>
      </c>
      <c r="K61" s="15" t="s">
        <v>39</v>
      </c>
      <c r="L61" s="13">
        <v>7</v>
      </c>
      <c r="M61" s="15" t="s">
        <v>27</v>
      </c>
      <c r="N61" s="15">
        <v>7.2937225968677204</v>
      </c>
      <c r="O61" s="15" t="s">
        <v>45</v>
      </c>
      <c r="P61" s="15">
        <v>11</v>
      </c>
      <c r="Q61" s="15">
        <v>176</v>
      </c>
      <c r="R61" s="15">
        <v>4</v>
      </c>
      <c r="S61" s="15">
        <v>1.90076224351945</v>
      </c>
      <c r="T61" s="15" t="s">
        <v>46</v>
      </c>
      <c r="U61" s="15">
        <v>0.44719401546382298</v>
      </c>
      <c r="V61" s="15" t="s">
        <v>40</v>
      </c>
      <c r="W61" s="15" t="s">
        <v>48</v>
      </c>
      <c r="X61" s="15">
        <v>312.57427361009297</v>
      </c>
    </row>
    <row r="62" spans="1:24" x14ac:dyDescent="0.35">
      <c r="A62" s="6" t="s">
        <v>33</v>
      </c>
      <c r="B62" s="6" t="s">
        <v>114</v>
      </c>
      <c r="C62" s="7">
        <v>17.028027920188698</v>
      </c>
      <c r="D62" s="8">
        <v>16</v>
      </c>
      <c r="E62" s="8">
        <v>380</v>
      </c>
      <c r="F62" s="9">
        <v>8864.0843495864301</v>
      </c>
      <c r="G62" s="6" t="s">
        <v>35</v>
      </c>
      <c r="H62" s="8">
        <v>41</v>
      </c>
      <c r="I62" s="8">
        <v>72</v>
      </c>
      <c r="J62" s="10">
        <v>27</v>
      </c>
      <c r="K62" s="10" t="s">
        <v>52</v>
      </c>
      <c r="L62" s="8">
        <v>8</v>
      </c>
      <c r="M62" s="10" t="s">
        <v>43</v>
      </c>
      <c r="N62" s="10">
        <v>4.3813681581023101</v>
      </c>
      <c r="O62" s="10" t="s">
        <v>29</v>
      </c>
      <c r="P62" s="10">
        <v>29</v>
      </c>
      <c r="Q62" s="10">
        <v>929</v>
      </c>
      <c r="R62" s="10">
        <v>24</v>
      </c>
      <c r="S62" s="10">
        <v>87.213057815135599</v>
      </c>
      <c r="T62" s="10" t="s">
        <v>46</v>
      </c>
      <c r="U62" s="10">
        <v>2.8530906166490499</v>
      </c>
      <c r="V62" s="10" t="s">
        <v>47</v>
      </c>
      <c r="W62" s="10" t="s">
        <v>48</v>
      </c>
      <c r="X62" s="10">
        <v>430.16909697513597</v>
      </c>
    </row>
    <row r="63" spans="1:24" x14ac:dyDescent="0.35">
      <c r="A63" s="11" t="s">
        <v>24</v>
      </c>
      <c r="B63" s="11" t="s">
        <v>115</v>
      </c>
      <c r="C63" s="12">
        <v>52.028749903294901</v>
      </c>
      <c r="D63" s="13">
        <v>23</v>
      </c>
      <c r="E63" s="13">
        <v>117</v>
      </c>
      <c r="F63" s="14">
        <v>6885.5893508962499</v>
      </c>
      <c r="G63" s="11" t="s">
        <v>38</v>
      </c>
      <c r="H63" s="13">
        <v>32</v>
      </c>
      <c r="I63" s="13">
        <v>36</v>
      </c>
      <c r="J63" s="15">
        <v>23</v>
      </c>
      <c r="K63" s="15" t="s">
        <v>52</v>
      </c>
      <c r="L63" s="13">
        <v>7</v>
      </c>
      <c r="M63" s="15" t="s">
        <v>43</v>
      </c>
      <c r="N63" s="15">
        <v>9.0303404225219399</v>
      </c>
      <c r="O63" s="15" t="s">
        <v>45</v>
      </c>
      <c r="P63" s="15">
        <v>14</v>
      </c>
      <c r="Q63" s="15">
        <v>480</v>
      </c>
      <c r="R63" s="15">
        <v>12</v>
      </c>
      <c r="S63" s="15">
        <v>78.702393968878894</v>
      </c>
      <c r="T63" s="15" t="s">
        <v>46</v>
      </c>
      <c r="U63" s="15">
        <v>4.3674705382050503</v>
      </c>
      <c r="V63" s="15" t="s">
        <v>40</v>
      </c>
      <c r="W63" s="15" t="s">
        <v>48</v>
      </c>
      <c r="X63" s="15">
        <v>164.366528243419</v>
      </c>
    </row>
    <row r="64" spans="1:24" x14ac:dyDescent="0.35">
      <c r="A64" s="6" t="s">
        <v>57</v>
      </c>
      <c r="B64" s="6" t="s">
        <v>116</v>
      </c>
      <c r="C64" s="7">
        <v>72.796353955587307</v>
      </c>
      <c r="D64" s="8">
        <v>89</v>
      </c>
      <c r="E64" s="8">
        <v>270</v>
      </c>
      <c r="F64" s="9">
        <v>3899.7468337292198</v>
      </c>
      <c r="G64" s="6" t="s">
        <v>38</v>
      </c>
      <c r="H64" s="8">
        <v>86</v>
      </c>
      <c r="I64" s="8">
        <v>40</v>
      </c>
      <c r="J64" s="10">
        <v>2</v>
      </c>
      <c r="K64" s="10" t="s">
        <v>61</v>
      </c>
      <c r="L64" s="8">
        <v>7</v>
      </c>
      <c r="M64" s="10" t="s">
        <v>43</v>
      </c>
      <c r="N64" s="10">
        <v>7.2917013887767697</v>
      </c>
      <c r="O64" s="10" t="s">
        <v>29</v>
      </c>
      <c r="P64" s="10">
        <v>13</v>
      </c>
      <c r="Q64" s="10">
        <v>751</v>
      </c>
      <c r="R64" s="10">
        <v>14</v>
      </c>
      <c r="S64" s="10">
        <v>21.048642725168602</v>
      </c>
      <c r="T64" s="10" t="s">
        <v>64</v>
      </c>
      <c r="U64" s="10">
        <v>1.87400140404437</v>
      </c>
      <c r="V64" s="10" t="s">
        <v>56</v>
      </c>
      <c r="W64" s="10" t="s">
        <v>41</v>
      </c>
      <c r="X64" s="10">
        <v>320.84651575911101</v>
      </c>
    </row>
    <row r="65" spans="1:24" x14ac:dyDescent="0.35">
      <c r="A65" s="11" t="s">
        <v>33</v>
      </c>
      <c r="B65" s="11" t="s">
        <v>117</v>
      </c>
      <c r="C65" s="12">
        <v>13.0173767852878</v>
      </c>
      <c r="D65" s="13">
        <v>55</v>
      </c>
      <c r="E65" s="13">
        <v>246</v>
      </c>
      <c r="F65" s="14">
        <v>4256.9491408502199</v>
      </c>
      <c r="G65" s="11" t="s">
        <v>26</v>
      </c>
      <c r="H65" s="13">
        <v>54</v>
      </c>
      <c r="I65" s="13">
        <v>10</v>
      </c>
      <c r="J65" s="15">
        <v>19</v>
      </c>
      <c r="K65" s="15" t="s">
        <v>28</v>
      </c>
      <c r="L65" s="13">
        <v>4</v>
      </c>
      <c r="M65" s="15" t="s">
        <v>36</v>
      </c>
      <c r="N65" s="15">
        <v>2.45793352798733</v>
      </c>
      <c r="O65" s="15" t="s">
        <v>53</v>
      </c>
      <c r="P65" s="15">
        <v>18</v>
      </c>
      <c r="Q65" s="15">
        <v>736</v>
      </c>
      <c r="R65" s="15">
        <v>10</v>
      </c>
      <c r="S65" s="15">
        <v>20.075003975630398</v>
      </c>
      <c r="T65" s="15" t="s">
        <v>30</v>
      </c>
      <c r="U65" s="15">
        <v>3.6328432903821302</v>
      </c>
      <c r="V65" s="15" t="s">
        <v>56</v>
      </c>
      <c r="W65" s="15" t="s">
        <v>48</v>
      </c>
      <c r="X65" s="15">
        <v>687.28617786641701</v>
      </c>
    </row>
    <row r="66" spans="1:24" x14ac:dyDescent="0.35">
      <c r="A66" s="6" t="s">
        <v>33</v>
      </c>
      <c r="B66" s="6" t="s">
        <v>118</v>
      </c>
      <c r="C66" s="7">
        <v>89.634095608135297</v>
      </c>
      <c r="D66" s="8">
        <v>11</v>
      </c>
      <c r="E66" s="8">
        <v>134</v>
      </c>
      <c r="F66" s="9">
        <v>8458.7308783671706</v>
      </c>
      <c r="G66" s="6" t="s">
        <v>35</v>
      </c>
      <c r="H66" s="8">
        <v>73</v>
      </c>
      <c r="I66" s="8">
        <v>75</v>
      </c>
      <c r="J66" s="10">
        <v>27</v>
      </c>
      <c r="K66" s="10" t="s">
        <v>39</v>
      </c>
      <c r="L66" s="8">
        <v>6</v>
      </c>
      <c r="M66" s="10" t="s">
        <v>43</v>
      </c>
      <c r="N66" s="10">
        <v>4.5853534681946497</v>
      </c>
      <c r="O66" s="10" t="s">
        <v>50</v>
      </c>
      <c r="P66" s="10">
        <v>17</v>
      </c>
      <c r="Q66" s="10">
        <v>328</v>
      </c>
      <c r="R66" s="10">
        <v>6</v>
      </c>
      <c r="S66" s="10">
        <v>8.6930424258772803</v>
      </c>
      <c r="T66" s="10" t="s">
        <v>46</v>
      </c>
      <c r="U66" s="10">
        <v>0.15948631471751401</v>
      </c>
      <c r="V66" s="10" t="s">
        <v>40</v>
      </c>
      <c r="W66" s="10" t="s">
        <v>41</v>
      </c>
      <c r="X66" s="10">
        <v>771.225084681157</v>
      </c>
    </row>
    <row r="67" spans="1:24" x14ac:dyDescent="0.35">
      <c r="A67" s="11" t="s">
        <v>33</v>
      </c>
      <c r="B67" s="11" t="s">
        <v>119</v>
      </c>
      <c r="C67" s="12">
        <v>33.697717206643098</v>
      </c>
      <c r="D67" s="13">
        <v>72</v>
      </c>
      <c r="E67" s="13">
        <v>457</v>
      </c>
      <c r="F67" s="14">
        <v>8354.5796864819895</v>
      </c>
      <c r="G67" s="11" t="s">
        <v>55</v>
      </c>
      <c r="H67" s="13">
        <v>57</v>
      </c>
      <c r="I67" s="13">
        <v>54</v>
      </c>
      <c r="J67" s="15">
        <v>24</v>
      </c>
      <c r="K67" s="15" t="s">
        <v>44</v>
      </c>
      <c r="L67" s="13">
        <v>8</v>
      </c>
      <c r="M67" s="15" t="s">
        <v>43</v>
      </c>
      <c r="N67" s="15">
        <v>6.5805413478845898</v>
      </c>
      <c r="O67" s="15" t="s">
        <v>45</v>
      </c>
      <c r="P67" s="15">
        <v>16</v>
      </c>
      <c r="Q67" s="15">
        <v>358</v>
      </c>
      <c r="R67" s="15">
        <v>21</v>
      </c>
      <c r="S67" s="15">
        <v>1.59722274305067</v>
      </c>
      <c r="T67" s="15" t="s">
        <v>46</v>
      </c>
      <c r="U67" s="15">
        <v>4.9110959548423301</v>
      </c>
      <c r="V67" s="15" t="s">
        <v>47</v>
      </c>
      <c r="W67" s="15" t="s">
        <v>41</v>
      </c>
      <c r="X67" s="15">
        <v>555.85910367174301</v>
      </c>
    </row>
    <row r="68" spans="1:24" x14ac:dyDescent="0.35">
      <c r="A68" s="6" t="s">
        <v>33</v>
      </c>
      <c r="B68" s="6" t="s">
        <v>120</v>
      </c>
      <c r="C68" s="7">
        <v>26.034869773962001</v>
      </c>
      <c r="D68" s="8">
        <v>52</v>
      </c>
      <c r="E68" s="8">
        <v>704</v>
      </c>
      <c r="F68" s="9">
        <v>8367.7216180201503</v>
      </c>
      <c r="G68" s="6" t="s">
        <v>35</v>
      </c>
      <c r="H68" s="8">
        <v>13</v>
      </c>
      <c r="I68" s="8">
        <v>19</v>
      </c>
      <c r="J68" s="10">
        <v>17</v>
      </c>
      <c r="K68" s="10" t="s">
        <v>44</v>
      </c>
      <c r="L68" s="8">
        <v>8</v>
      </c>
      <c r="M68" s="10" t="s">
        <v>36</v>
      </c>
      <c r="N68" s="10">
        <v>2.2161427287713602</v>
      </c>
      <c r="O68" s="10" t="s">
        <v>45</v>
      </c>
      <c r="P68" s="10">
        <v>24</v>
      </c>
      <c r="Q68" s="10">
        <v>867</v>
      </c>
      <c r="R68" s="10">
        <v>28</v>
      </c>
      <c r="S68" s="10">
        <v>42.084436738309897</v>
      </c>
      <c r="T68" s="10" t="s">
        <v>46</v>
      </c>
      <c r="U68" s="10">
        <v>3.44806328834026</v>
      </c>
      <c r="V68" s="10" t="s">
        <v>31</v>
      </c>
      <c r="W68" s="10" t="s">
        <v>48</v>
      </c>
      <c r="X68" s="10">
        <v>393.84334857842703</v>
      </c>
    </row>
    <row r="69" spans="1:24" x14ac:dyDescent="0.35">
      <c r="A69" s="11" t="s">
        <v>33</v>
      </c>
      <c r="B69" s="11" t="s">
        <v>121</v>
      </c>
      <c r="C69" s="12">
        <v>87.755432354001002</v>
      </c>
      <c r="D69" s="13">
        <v>16</v>
      </c>
      <c r="E69" s="13">
        <v>513</v>
      </c>
      <c r="F69" s="14">
        <v>9473.7980325083299</v>
      </c>
      <c r="G69" s="11" t="s">
        <v>38</v>
      </c>
      <c r="H69" s="13">
        <v>12</v>
      </c>
      <c r="I69" s="13">
        <v>71</v>
      </c>
      <c r="J69" s="15">
        <v>9</v>
      </c>
      <c r="K69" s="15" t="s">
        <v>39</v>
      </c>
      <c r="L69" s="13">
        <v>9</v>
      </c>
      <c r="M69" s="15" t="s">
        <v>43</v>
      </c>
      <c r="N69" s="15">
        <v>9.1478115447106294</v>
      </c>
      <c r="O69" s="15" t="s">
        <v>29</v>
      </c>
      <c r="P69" s="15">
        <v>10</v>
      </c>
      <c r="Q69" s="15">
        <v>198</v>
      </c>
      <c r="R69" s="15">
        <v>11</v>
      </c>
      <c r="S69" s="15">
        <v>7.0578761469782298</v>
      </c>
      <c r="T69" s="15" t="s">
        <v>64</v>
      </c>
      <c r="U69" s="15">
        <v>0.131955444311814</v>
      </c>
      <c r="V69" s="15" t="s">
        <v>56</v>
      </c>
      <c r="W69" s="15" t="s">
        <v>41</v>
      </c>
      <c r="X69" s="15">
        <v>169.27180138478599</v>
      </c>
    </row>
    <row r="70" spans="1:24" x14ac:dyDescent="0.35">
      <c r="A70" s="6" t="s">
        <v>24</v>
      </c>
      <c r="B70" s="6" t="s">
        <v>122</v>
      </c>
      <c r="C70" s="7">
        <v>37.931812382790298</v>
      </c>
      <c r="D70" s="8">
        <v>29</v>
      </c>
      <c r="E70" s="8">
        <v>163</v>
      </c>
      <c r="F70" s="9">
        <v>3550.21843278099</v>
      </c>
      <c r="G70" s="6" t="s">
        <v>26</v>
      </c>
      <c r="H70" s="8">
        <v>0</v>
      </c>
      <c r="I70" s="8">
        <v>58</v>
      </c>
      <c r="J70" s="10">
        <v>8</v>
      </c>
      <c r="K70" s="10" t="s">
        <v>61</v>
      </c>
      <c r="L70" s="8">
        <v>8</v>
      </c>
      <c r="M70" s="10" t="s">
        <v>27</v>
      </c>
      <c r="N70" s="10">
        <v>1.19425186488499</v>
      </c>
      <c r="O70" s="10" t="s">
        <v>53</v>
      </c>
      <c r="P70" s="10">
        <v>2</v>
      </c>
      <c r="Q70" s="10">
        <v>375</v>
      </c>
      <c r="R70" s="10">
        <v>18</v>
      </c>
      <c r="S70" s="10">
        <v>97.113581563462205</v>
      </c>
      <c r="T70" s="10" t="s">
        <v>46</v>
      </c>
      <c r="U70" s="10">
        <v>1.9834678721741801</v>
      </c>
      <c r="V70" s="10" t="s">
        <v>47</v>
      </c>
      <c r="W70" s="10" t="s">
        <v>48</v>
      </c>
      <c r="X70" s="10">
        <v>299.70630311810299</v>
      </c>
    </row>
    <row r="71" spans="1:24" x14ac:dyDescent="0.35">
      <c r="A71" s="11" t="s">
        <v>33</v>
      </c>
      <c r="B71" s="11" t="s">
        <v>123</v>
      </c>
      <c r="C71" s="12">
        <v>54.865528517069698</v>
      </c>
      <c r="D71" s="13">
        <v>62</v>
      </c>
      <c r="E71" s="13">
        <v>511</v>
      </c>
      <c r="F71" s="14">
        <v>1752.3810874841199</v>
      </c>
      <c r="G71" s="11" t="s">
        <v>26</v>
      </c>
      <c r="H71" s="13">
        <v>95</v>
      </c>
      <c r="I71" s="13">
        <v>27</v>
      </c>
      <c r="J71" s="15">
        <v>1</v>
      </c>
      <c r="K71" s="15" t="s">
        <v>52</v>
      </c>
      <c r="L71" s="13">
        <v>3</v>
      </c>
      <c r="M71" s="15" t="s">
        <v>27</v>
      </c>
      <c r="N71" s="15">
        <v>9.7052867901203399</v>
      </c>
      <c r="O71" s="15" t="s">
        <v>45</v>
      </c>
      <c r="P71" s="15">
        <v>9</v>
      </c>
      <c r="Q71" s="15">
        <v>862</v>
      </c>
      <c r="R71" s="15">
        <v>7</v>
      </c>
      <c r="S71" s="15">
        <v>77.627765812748095</v>
      </c>
      <c r="T71" s="15" t="s">
        <v>30</v>
      </c>
      <c r="U71" s="15">
        <v>1.3623879886490999</v>
      </c>
      <c r="V71" s="15" t="s">
        <v>40</v>
      </c>
      <c r="W71" s="15" t="s">
        <v>48</v>
      </c>
      <c r="X71" s="15">
        <v>207.66320620857499</v>
      </c>
    </row>
    <row r="72" spans="1:24" x14ac:dyDescent="0.35">
      <c r="A72" s="6" t="s">
        <v>24</v>
      </c>
      <c r="B72" s="6" t="s">
        <v>124</v>
      </c>
      <c r="C72" s="7">
        <v>47.914541824058702</v>
      </c>
      <c r="D72" s="8">
        <v>90</v>
      </c>
      <c r="E72" s="8">
        <v>32</v>
      </c>
      <c r="F72" s="9">
        <v>7014.8879872033804</v>
      </c>
      <c r="G72" s="6" t="s">
        <v>35</v>
      </c>
      <c r="H72" s="8">
        <v>10</v>
      </c>
      <c r="I72" s="8">
        <v>22</v>
      </c>
      <c r="J72" s="10">
        <v>12</v>
      </c>
      <c r="K72" s="10" t="s">
        <v>39</v>
      </c>
      <c r="L72" s="8">
        <v>4</v>
      </c>
      <c r="M72" s="10" t="s">
        <v>27</v>
      </c>
      <c r="N72" s="10">
        <v>6.3157177546007199</v>
      </c>
      <c r="O72" s="10" t="s">
        <v>53</v>
      </c>
      <c r="P72" s="10">
        <v>22</v>
      </c>
      <c r="Q72" s="10">
        <v>775</v>
      </c>
      <c r="R72" s="10">
        <v>16</v>
      </c>
      <c r="S72" s="10">
        <v>11.440781823761199</v>
      </c>
      <c r="T72" s="10" t="s">
        <v>64</v>
      </c>
      <c r="U72" s="10">
        <v>1.8305755986122301</v>
      </c>
      <c r="V72" s="10" t="s">
        <v>31</v>
      </c>
      <c r="W72" s="10" t="s">
        <v>41</v>
      </c>
      <c r="X72" s="10">
        <v>183.27289874871099</v>
      </c>
    </row>
    <row r="73" spans="1:24" x14ac:dyDescent="0.35">
      <c r="A73" s="11" t="s">
        <v>57</v>
      </c>
      <c r="B73" s="11" t="s">
        <v>125</v>
      </c>
      <c r="C73" s="12">
        <v>6.3815331627479601</v>
      </c>
      <c r="D73" s="13">
        <v>14</v>
      </c>
      <c r="E73" s="13">
        <v>637</v>
      </c>
      <c r="F73" s="14">
        <v>8180.3370854254399</v>
      </c>
      <c r="G73" s="11" t="s">
        <v>35</v>
      </c>
      <c r="H73" s="13">
        <v>76</v>
      </c>
      <c r="I73" s="13">
        <v>26</v>
      </c>
      <c r="J73" s="15">
        <v>2</v>
      </c>
      <c r="K73" s="15" t="s">
        <v>61</v>
      </c>
      <c r="L73" s="13">
        <v>6</v>
      </c>
      <c r="M73" s="15" t="s">
        <v>36</v>
      </c>
      <c r="N73" s="15">
        <v>9.2281903170525101</v>
      </c>
      <c r="O73" s="15" t="s">
        <v>53</v>
      </c>
      <c r="P73" s="15">
        <v>2</v>
      </c>
      <c r="Q73" s="15">
        <v>258</v>
      </c>
      <c r="R73" s="15">
        <v>10</v>
      </c>
      <c r="S73" s="15">
        <v>30.661677477859499</v>
      </c>
      <c r="T73" s="15" t="s">
        <v>30</v>
      </c>
      <c r="U73" s="15">
        <v>2.07875060787496</v>
      </c>
      <c r="V73" s="15" t="s">
        <v>31</v>
      </c>
      <c r="W73" s="15" t="s">
        <v>48</v>
      </c>
      <c r="X73" s="15">
        <v>405.167067888855</v>
      </c>
    </row>
    <row r="74" spans="1:24" x14ac:dyDescent="0.35">
      <c r="A74" s="6" t="s">
        <v>57</v>
      </c>
      <c r="B74" s="6" t="s">
        <v>126</v>
      </c>
      <c r="C74" s="7">
        <v>90.204427520528</v>
      </c>
      <c r="D74" s="8">
        <v>88</v>
      </c>
      <c r="E74" s="8">
        <v>478</v>
      </c>
      <c r="F74" s="9">
        <v>2633.1219813122498</v>
      </c>
      <c r="G74" s="6" t="s">
        <v>26</v>
      </c>
      <c r="H74" s="8">
        <v>57</v>
      </c>
      <c r="I74" s="8">
        <v>77</v>
      </c>
      <c r="J74" s="10">
        <v>29</v>
      </c>
      <c r="K74" s="10" t="s">
        <v>39</v>
      </c>
      <c r="L74" s="8">
        <v>9</v>
      </c>
      <c r="M74" s="10" t="s">
        <v>36</v>
      </c>
      <c r="N74" s="10">
        <v>6.5996141596895397</v>
      </c>
      <c r="O74" s="10" t="s">
        <v>53</v>
      </c>
      <c r="P74" s="10">
        <v>21</v>
      </c>
      <c r="Q74" s="10">
        <v>152</v>
      </c>
      <c r="R74" s="10">
        <v>11</v>
      </c>
      <c r="S74" s="10">
        <v>55.760492895244198</v>
      </c>
      <c r="T74" s="10" t="s">
        <v>30</v>
      </c>
      <c r="U74" s="10">
        <v>3.2133296074383</v>
      </c>
      <c r="V74" s="10" t="s">
        <v>47</v>
      </c>
      <c r="W74" s="10" t="s">
        <v>32</v>
      </c>
      <c r="X74" s="10">
        <v>677.94456984618296</v>
      </c>
    </row>
    <row r="75" spans="1:24" x14ac:dyDescent="0.35">
      <c r="A75" s="11" t="s">
        <v>57</v>
      </c>
      <c r="B75" s="11" t="s">
        <v>127</v>
      </c>
      <c r="C75" s="12">
        <v>83.851017681304597</v>
      </c>
      <c r="D75" s="13">
        <v>41</v>
      </c>
      <c r="E75" s="13">
        <v>375</v>
      </c>
      <c r="F75" s="14">
        <v>7910.8869161406801</v>
      </c>
      <c r="G75" s="11" t="s">
        <v>55</v>
      </c>
      <c r="H75" s="13">
        <v>17</v>
      </c>
      <c r="I75" s="13">
        <v>66</v>
      </c>
      <c r="J75" s="15">
        <v>25</v>
      </c>
      <c r="K75" s="15" t="s">
        <v>52</v>
      </c>
      <c r="L75" s="13">
        <v>5</v>
      </c>
      <c r="M75" s="15" t="s">
        <v>27</v>
      </c>
      <c r="N75" s="15">
        <v>1.5129368369160701</v>
      </c>
      <c r="O75" s="15" t="s">
        <v>62</v>
      </c>
      <c r="P75" s="15">
        <v>13</v>
      </c>
      <c r="Q75" s="15">
        <v>444</v>
      </c>
      <c r="R75" s="15">
        <v>4</v>
      </c>
      <c r="S75" s="15">
        <v>46.870238797617098</v>
      </c>
      <c r="T75" s="15" t="s">
        <v>46</v>
      </c>
      <c r="U75" s="15">
        <v>4.6205460645137002</v>
      </c>
      <c r="V75" s="15" t="s">
        <v>31</v>
      </c>
      <c r="W75" s="15" t="s">
        <v>48</v>
      </c>
      <c r="X75" s="15">
        <v>866.472800129657</v>
      </c>
    </row>
    <row r="76" spans="1:24" x14ac:dyDescent="0.35">
      <c r="A76" s="6" t="s">
        <v>24</v>
      </c>
      <c r="B76" s="6" t="s">
        <v>128</v>
      </c>
      <c r="C76" s="7">
        <v>3.1700114135661499</v>
      </c>
      <c r="D76" s="8">
        <v>64</v>
      </c>
      <c r="E76" s="8">
        <v>904</v>
      </c>
      <c r="F76" s="9">
        <v>5709.9452959692799</v>
      </c>
      <c r="G76" s="6" t="s">
        <v>35</v>
      </c>
      <c r="H76" s="8">
        <v>41</v>
      </c>
      <c r="I76" s="8">
        <v>1</v>
      </c>
      <c r="J76" s="10">
        <v>6</v>
      </c>
      <c r="K76" s="10" t="s">
        <v>52</v>
      </c>
      <c r="L76" s="8">
        <v>5</v>
      </c>
      <c r="M76" s="10" t="s">
        <v>36</v>
      </c>
      <c r="N76" s="10">
        <v>5.2376546500374399</v>
      </c>
      <c r="O76" s="10" t="s">
        <v>50</v>
      </c>
      <c r="P76" s="10">
        <v>1</v>
      </c>
      <c r="Q76" s="10">
        <v>919</v>
      </c>
      <c r="R76" s="10">
        <v>9</v>
      </c>
      <c r="S76" s="10">
        <v>80.580852156447804</v>
      </c>
      <c r="T76" s="10" t="s">
        <v>46</v>
      </c>
      <c r="U76" s="10">
        <v>0.39661272410993498</v>
      </c>
      <c r="V76" s="10" t="s">
        <v>47</v>
      </c>
      <c r="W76" s="10" t="s">
        <v>48</v>
      </c>
      <c r="X76" s="10">
        <v>341.55265678322297</v>
      </c>
    </row>
    <row r="77" spans="1:24" x14ac:dyDescent="0.35">
      <c r="A77" s="11" t="s">
        <v>33</v>
      </c>
      <c r="B77" s="11" t="s">
        <v>129</v>
      </c>
      <c r="C77" s="12">
        <v>92.996884233970604</v>
      </c>
      <c r="D77" s="13">
        <v>29</v>
      </c>
      <c r="E77" s="13">
        <v>106</v>
      </c>
      <c r="F77" s="14">
        <v>1889.07358977933</v>
      </c>
      <c r="G77" s="11" t="s">
        <v>26</v>
      </c>
      <c r="H77" s="13">
        <v>16</v>
      </c>
      <c r="I77" s="13">
        <v>56</v>
      </c>
      <c r="J77" s="15">
        <v>20</v>
      </c>
      <c r="K77" s="15" t="s">
        <v>39</v>
      </c>
      <c r="L77" s="13">
        <v>10</v>
      </c>
      <c r="M77" s="15" t="s">
        <v>43</v>
      </c>
      <c r="N77" s="15">
        <v>2.47389776104546</v>
      </c>
      <c r="O77" s="15" t="s">
        <v>62</v>
      </c>
      <c r="P77" s="15">
        <v>25</v>
      </c>
      <c r="Q77" s="15">
        <v>759</v>
      </c>
      <c r="R77" s="15">
        <v>11</v>
      </c>
      <c r="S77" s="15">
        <v>48.064782640006499</v>
      </c>
      <c r="T77" s="15" t="s">
        <v>64</v>
      </c>
      <c r="U77" s="15">
        <v>2.0300690886687498</v>
      </c>
      <c r="V77" s="15" t="s">
        <v>40</v>
      </c>
      <c r="W77" s="15" t="s">
        <v>41</v>
      </c>
      <c r="X77" s="15">
        <v>873.12964801765099</v>
      </c>
    </row>
    <row r="78" spans="1:24" x14ac:dyDescent="0.35">
      <c r="A78" s="6" t="s">
        <v>24</v>
      </c>
      <c r="B78" s="6" t="s">
        <v>130</v>
      </c>
      <c r="C78" s="7">
        <v>69.108799547430294</v>
      </c>
      <c r="D78" s="8">
        <v>23</v>
      </c>
      <c r="E78" s="8">
        <v>241</v>
      </c>
      <c r="F78" s="9">
        <v>5328.3759842977497</v>
      </c>
      <c r="G78" s="6" t="s">
        <v>55</v>
      </c>
      <c r="H78" s="8">
        <v>38</v>
      </c>
      <c r="I78" s="8">
        <v>22</v>
      </c>
      <c r="J78" s="10">
        <v>1</v>
      </c>
      <c r="K78" s="10" t="s">
        <v>61</v>
      </c>
      <c r="L78" s="8">
        <v>10</v>
      </c>
      <c r="M78" s="10" t="s">
        <v>36</v>
      </c>
      <c r="N78" s="10">
        <v>7.0545383368369201</v>
      </c>
      <c r="O78" s="10" t="s">
        <v>53</v>
      </c>
      <c r="P78" s="10">
        <v>25</v>
      </c>
      <c r="Q78" s="10">
        <v>985</v>
      </c>
      <c r="R78" s="10">
        <v>24</v>
      </c>
      <c r="S78" s="10">
        <v>64.323597795600193</v>
      </c>
      <c r="T78" s="10" t="s">
        <v>30</v>
      </c>
      <c r="U78" s="10">
        <v>2.1800374515822099</v>
      </c>
      <c r="V78" s="10" t="s">
        <v>47</v>
      </c>
      <c r="W78" s="10" t="s">
        <v>48</v>
      </c>
      <c r="X78" s="10">
        <v>997.41345013319403</v>
      </c>
    </row>
    <row r="79" spans="1:24" x14ac:dyDescent="0.35">
      <c r="A79" s="11" t="s">
        <v>24</v>
      </c>
      <c r="B79" s="11" t="s">
        <v>131</v>
      </c>
      <c r="C79" s="12">
        <v>57.449742958971399</v>
      </c>
      <c r="D79" s="13">
        <v>14</v>
      </c>
      <c r="E79" s="13">
        <v>359</v>
      </c>
      <c r="F79" s="14">
        <v>2483.7601775427902</v>
      </c>
      <c r="G79" s="11" t="s">
        <v>38</v>
      </c>
      <c r="H79" s="13">
        <v>96</v>
      </c>
      <c r="I79" s="13">
        <v>57</v>
      </c>
      <c r="J79" s="15">
        <v>28</v>
      </c>
      <c r="K79" s="15" t="s">
        <v>39</v>
      </c>
      <c r="L79" s="13">
        <v>4</v>
      </c>
      <c r="M79" s="15" t="s">
        <v>27</v>
      </c>
      <c r="N79" s="15">
        <v>6.7809466256178901</v>
      </c>
      <c r="O79" s="15" t="s">
        <v>45</v>
      </c>
      <c r="P79" s="15">
        <v>26</v>
      </c>
      <c r="Q79" s="15">
        <v>334</v>
      </c>
      <c r="R79" s="15">
        <v>5</v>
      </c>
      <c r="S79" s="15">
        <v>42.952444748991802</v>
      </c>
      <c r="T79" s="15" t="s">
        <v>64</v>
      </c>
      <c r="U79" s="15">
        <v>3.0551418183075398</v>
      </c>
      <c r="V79" s="15" t="s">
        <v>31</v>
      </c>
      <c r="W79" s="15" t="s">
        <v>32</v>
      </c>
      <c r="X79" s="15">
        <v>852.56809891984994</v>
      </c>
    </row>
    <row r="80" spans="1:24" x14ac:dyDescent="0.35">
      <c r="A80" s="6" t="s">
        <v>24</v>
      </c>
      <c r="B80" s="6" t="s">
        <v>132</v>
      </c>
      <c r="C80" s="7">
        <v>6.30688317611191</v>
      </c>
      <c r="D80" s="8">
        <v>50</v>
      </c>
      <c r="E80" s="8">
        <v>946</v>
      </c>
      <c r="F80" s="9">
        <v>1292.45841793775</v>
      </c>
      <c r="G80" s="6" t="s">
        <v>38</v>
      </c>
      <c r="H80" s="8">
        <v>5</v>
      </c>
      <c r="I80" s="8">
        <v>51</v>
      </c>
      <c r="J80" s="10">
        <v>4</v>
      </c>
      <c r="K80" s="10" t="s">
        <v>44</v>
      </c>
      <c r="L80" s="8">
        <v>5</v>
      </c>
      <c r="M80" s="10" t="s">
        <v>27</v>
      </c>
      <c r="N80" s="10">
        <v>8.4670497708619905</v>
      </c>
      <c r="O80" s="10" t="s">
        <v>29</v>
      </c>
      <c r="P80" s="10">
        <v>25</v>
      </c>
      <c r="Q80" s="10">
        <v>858</v>
      </c>
      <c r="R80" s="10">
        <v>21</v>
      </c>
      <c r="S80" s="10">
        <v>71.126514720403307</v>
      </c>
      <c r="T80" s="10" t="s">
        <v>30</v>
      </c>
      <c r="U80" s="10">
        <v>4.0968813324704501</v>
      </c>
      <c r="V80" s="10" t="s">
        <v>56</v>
      </c>
      <c r="W80" s="10" t="s">
        <v>41</v>
      </c>
      <c r="X80" s="10">
        <v>323.59220343132199</v>
      </c>
    </row>
    <row r="81" spans="1:24" x14ac:dyDescent="0.35">
      <c r="A81" s="11" t="s">
        <v>24</v>
      </c>
      <c r="B81" s="11" t="s">
        <v>133</v>
      </c>
      <c r="C81" s="12">
        <v>57.057031221103202</v>
      </c>
      <c r="D81" s="13">
        <v>56</v>
      </c>
      <c r="E81" s="13">
        <v>198</v>
      </c>
      <c r="F81" s="14">
        <v>7888.7232684270803</v>
      </c>
      <c r="G81" s="11" t="s">
        <v>26</v>
      </c>
      <c r="H81" s="13">
        <v>31</v>
      </c>
      <c r="I81" s="13">
        <v>20</v>
      </c>
      <c r="J81" s="15">
        <v>25</v>
      </c>
      <c r="K81" s="15" t="s">
        <v>28</v>
      </c>
      <c r="L81" s="13">
        <v>1</v>
      </c>
      <c r="M81" s="15" t="s">
        <v>27</v>
      </c>
      <c r="N81" s="15">
        <v>6.49632536429504</v>
      </c>
      <c r="O81" s="15" t="s">
        <v>53</v>
      </c>
      <c r="P81" s="15">
        <v>5</v>
      </c>
      <c r="Q81" s="15">
        <v>228</v>
      </c>
      <c r="R81" s="15">
        <v>12</v>
      </c>
      <c r="S81" s="15">
        <v>57.870902924036201</v>
      </c>
      <c r="T81" s="15" t="s">
        <v>30</v>
      </c>
      <c r="U81" s="15">
        <v>0.16587162748060799</v>
      </c>
      <c r="V81" s="15" t="s">
        <v>40</v>
      </c>
      <c r="W81" s="15" t="s">
        <v>41</v>
      </c>
      <c r="X81" s="15">
        <v>351.50421933503799</v>
      </c>
    </row>
    <row r="82" spans="1:24" x14ac:dyDescent="0.35">
      <c r="A82" s="6" t="s">
        <v>33</v>
      </c>
      <c r="B82" s="6" t="s">
        <v>134</v>
      </c>
      <c r="C82" s="7">
        <v>91.128318350444303</v>
      </c>
      <c r="D82" s="8">
        <v>75</v>
      </c>
      <c r="E82" s="8">
        <v>872</v>
      </c>
      <c r="F82" s="9">
        <v>8651.67268298206</v>
      </c>
      <c r="G82" s="6" t="s">
        <v>38</v>
      </c>
      <c r="H82" s="8">
        <v>39</v>
      </c>
      <c r="I82" s="8">
        <v>41</v>
      </c>
      <c r="J82" s="10">
        <v>14</v>
      </c>
      <c r="K82" s="10" t="s">
        <v>28</v>
      </c>
      <c r="L82" s="8">
        <v>2</v>
      </c>
      <c r="M82" s="10" t="s">
        <v>43</v>
      </c>
      <c r="N82" s="10">
        <v>2.8331846794189701</v>
      </c>
      <c r="O82" s="10" t="s">
        <v>62</v>
      </c>
      <c r="P82" s="10">
        <v>8</v>
      </c>
      <c r="Q82" s="10">
        <v>202</v>
      </c>
      <c r="R82" s="10">
        <v>5</v>
      </c>
      <c r="S82" s="10">
        <v>76.961228023819999</v>
      </c>
      <c r="T82" s="10" t="s">
        <v>46</v>
      </c>
      <c r="U82" s="10">
        <v>2.8496621985053299</v>
      </c>
      <c r="V82" s="10" t="s">
        <v>56</v>
      </c>
      <c r="W82" s="10" t="s">
        <v>32</v>
      </c>
      <c r="X82" s="10">
        <v>787.77985049434403</v>
      </c>
    </row>
    <row r="83" spans="1:24" x14ac:dyDescent="0.35">
      <c r="A83" s="11" t="s">
        <v>24</v>
      </c>
      <c r="B83" s="11" t="s">
        <v>135</v>
      </c>
      <c r="C83" s="12">
        <v>72.819206930318202</v>
      </c>
      <c r="D83" s="13">
        <v>9</v>
      </c>
      <c r="E83" s="13">
        <v>774</v>
      </c>
      <c r="F83" s="14">
        <v>4384.4134000458598</v>
      </c>
      <c r="G83" s="11" t="s">
        <v>38</v>
      </c>
      <c r="H83" s="13">
        <v>48</v>
      </c>
      <c r="I83" s="13">
        <v>8</v>
      </c>
      <c r="J83" s="15">
        <v>6</v>
      </c>
      <c r="K83" s="15" t="s">
        <v>28</v>
      </c>
      <c r="L83" s="13">
        <v>5</v>
      </c>
      <c r="M83" s="15" t="s">
        <v>27</v>
      </c>
      <c r="N83" s="15">
        <v>4.0662775015120403</v>
      </c>
      <c r="O83" s="15" t="s">
        <v>50</v>
      </c>
      <c r="P83" s="15">
        <v>28</v>
      </c>
      <c r="Q83" s="15">
        <v>698</v>
      </c>
      <c r="R83" s="15">
        <v>1</v>
      </c>
      <c r="S83" s="15">
        <v>19.789592941903599</v>
      </c>
      <c r="T83" s="15" t="s">
        <v>30</v>
      </c>
      <c r="U83" s="15">
        <v>2.54754712154871</v>
      </c>
      <c r="V83" s="15" t="s">
        <v>47</v>
      </c>
      <c r="W83" s="15" t="s">
        <v>32</v>
      </c>
      <c r="X83" s="15">
        <v>276.77833594679799</v>
      </c>
    </row>
    <row r="84" spans="1:24" x14ac:dyDescent="0.35">
      <c r="A84" s="6" t="s">
        <v>33</v>
      </c>
      <c r="B84" s="6" t="s">
        <v>136</v>
      </c>
      <c r="C84" s="7">
        <v>17.034930739467899</v>
      </c>
      <c r="D84" s="8">
        <v>13</v>
      </c>
      <c r="E84" s="8">
        <v>336</v>
      </c>
      <c r="F84" s="9">
        <v>2943.3818676094502</v>
      </c>
      <c r="G84" s="6" t="s">
        <v>38</v>
      </c>
      <c r="H84" s="8">
        <v>42</v>
      </c>
      <c r="I84" s="8">
        <v>72</v>
      </c>
      <c r="J84" s="10">
        <v>19</v>
      </c>
      <c r="K84" s="10" t="s">
        <v>61</v>
      </c>
      <c r="L84" s="8">
        <v>1</v>
      </c>
      <c r="M84" s="10" t="s">
        <v>36</v>
      </c>
      <c r="N84" s="10">
        <v>4.7081818735419301</v>
      </c>
      <c r="O84" s="10" t="s">
        <v>29</v>
      </c>
      <c r="P84" s="10">
        <v>6</v>
      </c>
      <c r="Q84" s="10">
        <v>955</v>
      </c>
      <c r="R84" s="10">
        <v>26</v>
      </c>
      <c r="S84" s="10">
        <v>4.4652784349432402</v>
      </c>
      <c r="T84" s="10" t="s">
        <v>30</v>
      </c>
      <c r="U84" s="10">
        <v>4.1378770486223502</v>
      </c>
      <c r="V84" s="10" t="s">
        <v>31</v>
      </c>
      <c r="W84" s="10" t="s">
        <v>41</v>
      </c>
      <c r="X84" s="10">
        <v>589.97855562804</v>
      </c>
    </row>
    <row r="85" spans="1:24" x14ac:dyDescent="0.35">
      <c r="A85" s="11" t="s">
        <v>24</v>
      </c>
      <c r="B85" s="11" t="s">
        <v>137</v>
      </c>
      <c r="C85" s="12">
        <v>68.911246211606297</v>
      </c>
      <c r="D85" s="13">
        <v>82</v>
      </c>
      <c r="E85" s="13">
        <v>663</v>
      </c>
      <c r="F85" s="14">
        <v>2411.7546321104901</v>
      </c>
      <c r="G85" s="11" t="s">
        <v>38</v>
      </c>
      <c r="H85" s="13">
        <v>65</v>
      </c>
      <c r="I85" s="13">
        <v>7</v>
      </c>
      <c r="J85" s="15">
        <v>24</v>
      </c>
      <c r="K85" s="15" t="s">
        <v>39</v>
      </c>
      <c r="L85" s="13">
        <v>8</v>
      </c>
      <c r="M85" s="15" t="s">
        <v>27</v>
      </c>
      <c r="N85" s="15">
        <v>4.94983957799694</v>
      </c>
      <c r="O85" s="15" t="s">
        <v>53</v>
      </c>
      <c r="P85" s="15">
        <v>20</v>
      </c>
      <c r="Q85" s="15">
        <v>443</v>
      </c>
      <c r="R85" s="15">
        <v>5</v>
      </c>
      <c r="S85" s="15">
        <v>97.730593800533001</v>
      </c>
      <c r="T85" s="15" t="s">
        <v>46</v>
      </c>
      <c r="U85" s="15">
        <v>0.77300613406724705</v>
      </c>
      <c r="V85" s="15" t="s">
        <v>31</v>
      </c>
      <c r="W85" s="15" t="s">
        <v>48</v>
      </c>
      <c r="X85" s="15">
        <v>682.97101822609295</v>
      </c>
    </row>
    <row r="86" spans="1:24" x14ac:dyDescent="0.35">
      <c r="A86" s="6" t="s">
        <v>24</v>
      </c>
      <c r="B86" s="6" t="s">
        <v>138</v>
      </c>
      <c r="C86" s="7">
        <v>89.104367292102197</v>
      </c>
      <c r="D86" s="8">
        <v>99</v>
      </c>
      <c r="E86" s="8">
        <v>618</v>
      </c>
      <c r="F86" s="9">
        <v>2048.2900998487098</v>
      </c>
      <c r="G86" s="6" t="s">
        <v>38</v>
      </c>
      <c r="H86" s="8">
        <v>73</v>
      </c>
      <c r="I86" s="8">
        <v>80</v>
      </c>
      <c r="J86" s="10">
        <v>26</v>
      </c>
      <c r="K86" s="10" t="s">
        <v>44</v>
      </c>
      <c r="L86" s="8">
        <v>10</v>
      </c>
      <c r="M86" s="10" t="s">
        <v>36</v>
      </c>
      <c r="N86" s="10">
        <v>8.3816156249226292</v>
      </c>
      <c r="O86" s="10" t="s">
        <v>62</v>
      </c>
      <c r="P86" s="10">
        <v>24</v>
      </c>
      <c r="Q86" s="10">
        <v>589</v>
      </c>
      <c r="R86" s="10">
        <v>22</v>
      </c>
      <c r="S86" s="10">
        <v>33.808636513209002</v>
      </c>
      <c r="T86" s="10" t="s">
        <v>64</v>
      </c>
      <c r="U86" s="10">
        <v>4.8434565771180402</v>
      </c>
      <c r="V86" s="10" t="s">
        <v>40</v>
      </c>
      <c r="W86" s="10" t="s">
        <v>32</v>
      </c>
      <c r="X86" s="10">
        <v>465.45700596368698</v>
      </c>
    </row>
    <row r="87" spans="1:24" x14ac:dyDescent="0.35">
      <c r="A87" s="11" t="s">
        <v>57</v>
      </c>
      <c r="B87" s="11" t="s">
        <v>139</v>
      </c>
      <c r="C87" s="12">
        <v>76.962994415193805</v>
      </c>
      <c r="D87" s="13">
        <v>83</v>
      </c>
      <c r="E87" s="13">
        <v>25</v>
      </c>
      <c r="F87" s="14">
        <v>8684.6130592538502</v>
      </c>
      <c r="G87" s="11" t="s">
        <v>35</v>
      </c>
      <c r="H87" s="13">
        <v>15</v>
      </c>
      <c r="I87" s="13">
        <v>66</v>
      </c>
      <c r="J87" s="15">
        <v>18</v>
      </c>
      <c r="K87" s="15" t="s">
        <v>44</v>
      </c>
      <c r="L87" s="13">
        <v>2</v>
      </c>
      <c r="M87" s="15" t="s">
        <v>43</v>
      </c>
      <c r="N87" s="15">
        <v>8.2491687048717193</v>
      </c>
      <c r="O87" s="15" t="s">
        <v>62</v>
      </c>
      <c r="P87" s="15">
        <v>4</v>
      </c>
      <c r="Q87" s="15">
        <v>211</v>
      </c>
      <c r="R87" s="15">
        <v>2</v>
      </c>
      <c r="S87" s="15">
        <v>69.929345518672307</v>
      </c>
      <c r="T87" s="15" t="s">
        <v>46</v>
      </c>
      <c r="U87" s="15">
        <v>1.3744289997457499</v>
      </c>
      <c r="V87" s="15" t="s">
        <v>31</v>
      </c>
      <c r="W87" s="15" t="s">
        <v>32</v>
      </c>
      <c r="X87" s="15">
        <v>842.68683000464102</v>
      </c>
    </row>
    <row r="88" spans="1:24" x14ac:dyDescent="0.35">
      <c r="A88" s="6" t="s">
        <v>33</v>
      </c>
      <c r="B88" s="6" t="s">
        <v>140</v>
      </c>
      <c r="C88" s="7">
        <v>19.9981769404042</v>
      </c>
      <c r="D88" s="8">
        <v>18</v>
      </c>
      <c r="E88" s="8">
        <v>223</v>
      </c>
      <c r="F88" s="9">
        <v>1229.59102856498</v>
      </c>
      <c r="G88" s="6" t="s">
        <v>38</v>
      </c>
      <c r="H88" s="8">
        <v>32</v>
      </c>
      <c r="I88" s="8">
        <v>22</v>
      </c>
      <c r="J88" s="10">
        <v>14</v>
      </c>
      <c r="K88" s="10" t="s">
        <v>39</v>
      </c>
      <c r="L88" s="8">
        <v>6</v>
      </c>
      <c r="M88" s="10" t="s">
        <v>27</v>
      </c>
      <c r="N88" s="10">
        <v>1.4543053101535499</v>
      </c>
      <c r="O88" s="10" t="s">
        <v>29</v>
      </c>
      <c r="P88" s="10">
        <v>4</v>
      </c>
      <c r="Q88" s="10">
        <v>569</v>
      </c>
      <c r="R88" s="10">
        <v>18</v>
      </c>
      <c r="S88" s="10">
        <v>74.608969995194599</v>
      </c>
      <c r="T88" s="10" t="s">
        <v>64</v>
      </c>
      <c r="U88" s="10">
        <v>2.0515129307662399</v>
      </c>
      <c r="V88" s="10" t="s">
        <v>47</v>
      </c>
      <c r="W88" s="10" t="s">
        <v>48</v>
      </c>
      <c r="X88" s="10">
        <v>264.25488983586598</v>
      </c>
    </row>
    <row r="89" spans="1:24" x14ac:dyDescent="0.35">
      <c r="A89" s="11" t="s">
        <v>24</v>
      </c>
      <c r="B89" s="11" t="s">
        <v>141</v>
      </c>
      <c r="C89" s="12">
        <v>80.414036650355698</v>
      </c>
      <c r="D89" s="13">
        <v>24</v>
      </c>
      <c r="E89" s="13">
        <v>79</v>
      </c>
      <c r="F89" s="14">
        <v>5133.8467010866898</v>
      </c>
      <c r="G89" s="11" t="s">
        <v>55</v>
      </c>
      <c r="H89" s="13">
        <v>5</v>
      </c>
      <c r="I89" s="13">
        <v>55</v>
      </c>
      <c r="J89" s="15">
        <v>7</v>
      </c>
      <c r="K89" s="15" t="s">
        <v>28</v>
      </c>
      <c r="L89" s="13">
        <v>10</v>
      </c>
      <c r="M89" s="15" t="s">
        <v>36</v>
      </c>
      <c r="N89" s="15">
        <v>6.5758037975485299</v>
      </c>
      <c r="O89" s="15" t="s">
        <v>62</v>
      </c>
      <c r="P89" s="15">
        <v>27</v>
      </c>
      <c r="Q89" s="15">
        <v>523</v>
      </c>
      <c r="R89" s="15">
        <v>17</v>
      </c>
      <c r="S89" s="15">
        <v>28.696996824143099</v>
      </c>
      <c r="T89" s="15" t="s">
        <v>46</v>
      </c>
      <c r="U89" s="15">
        <v>3.6937377878392699</v>
      </c>
      <c r="V89" s="15" t="s">
        <v>56</v>
      </c>
      <c r="W89" s="15" t="s">
        <v>32</v>
      </c>
      <c r="X89" s="15">
        <v>879.35921773492396</v>
      </c>
    </row>
    <row r="90" spans="1:24" x14ac:dyDescent="0.35">
      <c r="A90" s="6" t="s">
        <v>57</v>
      </c>
      <c r="B90" s="6" t="s">
        <v>142</v>
      </c>
      <c r="C90" s="7">
        <v>75.270406975724995</v>
      </c>
      <c r="D90" s="8">
        <v>58</v>
      </c>
      <c r="E90" s="8">
        <v>737</v>
      </c>
      <c r="F90" s="9">
        <v>9444.7420330629793</v>
      </c>
      <c r="G90" s="6" t="s">
        <v>55</v>
      </c>
      <c r="H90" s="8">
        <v>60</v>
      </c>
      <c r="I90" s="8">
        <v>85</v>
      </c>
      <c r="J90" s="10">
        <v>18</v>
      </c>
      <c r="K90" s="10" t="s">
        <v>61</v>
      </c>
      <c r="L90" s="8">
        <v>7</v>
      </c>
      <c r="M90" s="10" t="s">
        <v>36</v>
      </c>
      <c r="N90" s="10">
        <v>3.8012531329310701</v>
      </c>
      <c r="O90" s="10" t="s">
        <v>29</v>
      </c>
      <c r="P90" s="10">
        <v>21</v>
      </c>
      <c r="Q90" s="10">
        <v>953</v>
      </c>
      <c r="R90" s="10">
        <v>11</v>
      </c>
      <c r="S90" s="10">
        <v>68.1849190570411</v>
      </c>
      <c r="T90" s="10" t="s">
        <v>30</v>
      </c>
      <c r="U90" s="10">
        <v>0.722204401882931</v>
      </c>
      <c r="V90" s="10" t="s">
        <v>56</v>
      </c>
      <c r="W90" s="10" t="s">
        <v>48</v>
      </c>
      <c r="X90" s="10">
        <v>103.916247960704</v>
      </c>
    </row>
    <row r="91" spans="1:24" x14ac:dyDescent="0.35">
      <c r="A91" s="11" t="s">
        <v>57</v>
      </c>
      <c r="B91" s="11" t="s">
        <v>143</v>
      </c>
      <c r="C91" s="12">
        <v>97.760085581938597</v>
      </c>
      <c r="D91" s="13">
        <v>10</v>
      </c>
      <c r="E91" s="13">
        <v>134</v>
      </c>
      <c r="F91" s="14">
        <v>5924.6825668532301</v>
      </c>
      <c r="G91" s="11" t="s">
        <v>38</v>
      </c>
      <c r="H91" s="13">
        <v>90</v>
      </c>
      <c r="I91" s="13">
        <v>27</v>
      </c>
      <c r="J91" s="15">
        <v>1</v>
      </c>
      <c r="K91" s="15" t="s">
        <v>39</v>
      </c>
      <c r="L91" s="13">
        <v>8</v>
      </c>
      <c r="M91" s="15" t="s">
        <v>27</v>
      </c>
      <c r="N91" s="15">
        <v>9.9298162452772498</v>
      </c>
      <c r="O91" s="15" t="s">
        <v>45</v>
      </c>
      <c r="P91" s="15">
        <v>23</v>
      </c>
      <c r="Q91" s="15">
        <v>370</v>
      </c>
      <c r="R91" s="15">
        <v>11</v>
      </c>
      <c r="S91" s="15">
        <v>46.603873381644398</v>
      </c>
      <c r="T91" s="15" t="s">
        <v>30</v>
      </c>
      <c r="U91" s="15">
        <v>1.9076657339590699</v>
      </c>
      <c r="V91" s="15" t="s">
        <v>47</v>
      </c>
      <c r="W91" s="15" t="s">
        <v>32</v>
      </c>
      <c r="X91" s="15">
        <v>517.49997392906005</v>
      </c>
    </row>
    <row r="92" spans="1:24" x14ac:dyDescent="0.35">
      <c r="A92" s="6" t="s">
        <v>33</v>
      </c>
      <c r="B92" s="6" t="s">
        <v>144</v>
      </c>
      <c r="C92" s="7">
        <v>13.881913501359101</v>
      </c>
      <c r="D92" s="8">
        <v>56</v>
      </c>
      <c r="E92" s="8">
        <v>320</v>
      </c>
      <c r="F92" s="9">
        <v>9592.6335702803099</v>
      </c>
      <c r="G92" s="6" t="s">
        <v>26</v>
      </c>
      <c r="H92" s="8">
        <v>66</v>
      </c>
      <c r="I92" s="8">
        <v>96</v>
      </c>
      <c r="J92" s="10">
        <v>18</v>
      </c>
      <c r="K92" s="10" t="s">
        <v>28</v>
      </c>
      <c r="L92" s="8">
        <v>7</v>
      </c>
      <c r="M92" s="10" t="s">
        <v>27</v>
      </c>
      <c r="N92" s="10">
        <v>7.6744307081126903</v>
      </c>
      <c r="O92" s="10" t="s">
        <v>53</v>
      </c>
      <c r="P92" s="10">
        <v>8</v>
      </c>
      <c r="Q92" s="10">
        <v>585</v>
      </c>
      <c r="R92" s="10">
        <v>8</v>
      </c>
      <c r="S92" s="10">
        <v>85.675963335797903</v>
      </c>
      <c r="T92" s="10" t="s">
        <v>64</v>
      </c>
      <c r="U92" s="10">
        <v>1.2193822244013801</v>
      </c>
      <c r="V92" s="10" t="s">
        <v>47</v>
      </c>
      <c r="W92" s="10" t="s">
        <v>32</v>
      </c>
      <c r="X92" s="10">
        <v>990.07847250581096</v>
      </c>
    </row>
    <row r="93" spans="1:24" x14ac:dyDescent="0.35">
      <c r="A93" s="11" t="s">
        <v>57</v>
      </c>
      <c r="B93" s="11" t="s">
        <v>145</v>
      </c>
      <c r="C93" s="12">
        <v>62.111965463961702</v>
      </c>
      <c r="D93" s="13">
        <v>90</v>
      </c>
      <c r="E93" s="13">
        <v>916</v>
      </c>
      <c r="F93" s="14">
        <v>1935.20679350759</v>
      </c>
      <c r="G93" s="11" t="s">
        <v>55</v>
      </c>
      <c r="H93" s="13">
        <v>98</v>
      </c>
      <c r="I93" s="13">
        <v>85</v>
      </c>
      <c r="J93" s="15">
        <v>22</v>
      </c>
      <c r="K93" s="15" t="s">
        <v>52</v>
      </c>
      <c r="L93" s="13">
        <v>7</v>
      </c>
      <c r="M93" s="15" t="s">
        <v>27</v>
      </c>
      <c r="N93" s="15">
        <v>7.4715140844011403</v>
      </c>
      <c r="O93" s="15" t="s">
        <v>50</v>
      </c>
      <c r="P93" s="15">
        <v>5</v>
      </c>
      <c r="Q93" s="15">
        <v>207</v>
      </c>
      <c r="R93" s="15">
        <v>28</v>
      </c>
      <c r="S93" s="15">
        <v>39.772882502339897</v>
      </c>
      <c r="T93" s="15" t="s">
        <v>30</v>
      </c>
      <c r="U93" s="15">
        <v>0.62600185820939402</v>
      </c>
      <c r="V93" s="15" t="s">
        <v>47</v>
      </c>
      <c r="W93" s="15" t="s">
        <v>32</v>
      </c>
      <c r="X93" s="15">
        <v>996.77831495062298</v>
      </c>
    </row>
    <row r="94" spans="1:24" x14ac:dyDescent="0.35">
      <c r="A94" s="6" t="s">
        <v>57</v>
      </c>
      <c r="B94" s="6" t="s">
        <v>146</v>
      </c>
      <c r="C94" s="7">
        <v>47.714233075820196</v>
      </c>
      <c r="D94" s="8">
        <v>44</v>
      </c>
      <c r="E94" s="8">
        <v>276</v>
      </c>
      <c r="F94" s="9">
        <v>2100.1297546259302</v>
      </c>
      <c r="G94" s="6" t="s">
        <v>55</v>
      </c>
      <c r="H94" s="8">
        <v>90</v>
      </c>
      <c r="I94" s="8">
        <v>10</v>
      </c>
      <c r="J94" s="10">
        <v>25</v>
      </c>
      <c r="K94" s="10" t="s">
        <v>61</v>
      </c>
      <c r="L94" s="8">
        <v>8</v>
      </c>
      <c r="M94" s="10" t="s">
        <v>27</v>
      </c>
      <c r="N94" s="10">
        <v>4.4695000261236002</v>
      </c>
      <c r="O94" s="10" t="s">
        <v>29</v>
      </c>
      <c r="P94" s="10">
        <v>4</v>
      </c>
      <c r="Q94" s="10">
        <v>671</v>
      </c>
      <c r="R94" s="10">
        <v>29</v>
      </c>
      <c r="S94" s="10">
        <v>62.612690395614301</v>
      </c>
      <c r="T94" s="10" t="s">
        <v>64</v>
      </c>
      <c r="U94" s="10">
        <v>0.33343182522473902</v>
      </c>
      <c r="V94" s="10" t="s">
        <v>47</v>
      </c>
      <c r="W94" s="10" t="s">
        <v>32</v>
      </c>
      <c r="X94" s="10">
        <v>230.092782536762</v>
      </c>
    </row>
    <row r="95" spans="1:24" x14ac:dyDescent="0.35">
      <c r="A95" s="11" t="s">
        <v>24</v>
      </c>
      <c r="B95" s="11" t="s">
        <v>147</v>
      </c>
      <c r="C95" s="12">
        <v>69.290831002905406</v>
      </c>
      <c r="D95" s="13">
        <v>88</v>
      </c>
      <c r="E95" s="13">
        <v>114</v>
      </c>
      <c r="F95" s="14">
        <v>4531.4021336919004</v>
      </c>
      <c r="G95" s="11" t="s">
        <v>38</v>
      </c>
      <c r="H95" s="13">
        <v>63</v>
      </c>
      <c r="I95" s="13">
        <v>66</v>
      </c>
      <c r="J95" s="15">
        <v>17</v>
      </c>
      <c r="K95" s="15" t="s">
        <v>52</v>
      </c>
      <c r="L95" s="13">
        <v>1</v>
      </c>
      <c r="M95" s="15" t="s">
        <v>43</v>
      </c>
      <c r="N95" s="15">
        <v>7.00643205900439</v>
      </c>
      <c r="O95" s="15" t="s">
        <v>62</v>
      </c>
      <c r="P95" s="15">
        <v>21</v>
      </c>
      <c r="Q95" s="15">
        <v>824</v>
      </c>
      <c r="R95" s="15">
        <v>20</v>
      </c>
      <c r="S95" s="15">
        <v>35.633652343343797</v>
      </c>
      <c r="T95" s="15" t="s">
        <v>46</v>
      </c>
      <c r="U95" s="15">
        <v>4.1657817954241398</v>
      </c>
      <c r="V95" s="15" t="s">
        <v>40</v>
      </c>
      <c r="W95" s="15" t="s">
        <v>48</v>
      </c>
      <c r="X95" s="15">
        <v>823.52384588815505</v>
      </c>
    </row>
    <row r="96" spans="1:24" x14ac:dyDescent="0.35">
      <c r="A96" s="6" t="s">
        <v>57</v>
      </c>
      <c r="B96" s="6" t="s">
        <v>148</v>
      </c>
      <c r="C96" s="7">
        <v>3.0376887246314102</v>
      </c>
      <c r="D96" s="8">
        <v>97</v>
      </c>
      <c r="E96" s="8">
        <v>987</v>
      </c>
      <c r="F96" s="9">
        <v>7888.3565466618702</v>
      </c>
      <c r="G96" s="6" t="s">
        <v>38</v>
      </c>
      <c r="H96" s="8">
        <v>77</v>
      </c>
      <c r="I96" s="8">
        <v>72</v>
      </c>
      <c r="J96" s="10">
        <v>26</v>
      </c>
      <c r="K96" s="10" t="s">
        <v>61</v>
      </c>
      <c r="L96" s="8">
        <v>9</v>
      </c>
      <c r="M96" s="10" t="s">
        <v>27</v>
      </c>
      <c r="N96" s="10">
        <v>6.9429459420325799</v>
      </c>
      <c r="O96" s="10" t="s">
        <v>50</v>
      </c>
      <c r="P96" s="10">
        <v>12</v>
      </c>
      <c r="Q96" s="10">
        <v>908</v>
      </c>
      <c r="R96" s="10">
        <v>14</v>
      </c>
      <c r="S96" s="10">
        <v>60.387378614862101</v>
      </c>
      <c r="T96" s="10" t="s">
        <v>64</v>
      </c>
      <c r="U96" s="10">
        <v>1.4636074984727701</v>
      </c>
      <c r="V96" s="10" t="s">
        <v>47</v>
      </c>
      <c r="W96" s="10" t="s">
        <v>32</v>
      </c>
      <c r="X96" s="10">
        <v>846.66525698669398</v>
      </c>
    </row>
    <row r="97" spans="1:24" x14ac:dyDescent="0.35">
      <c r="A97" s="11" t="s">
        <v>24</v>
      </c>
      <c r="B97" s="11" t="s">
        <v>149</v>
      </c>
      <c r="C97" s="12">
        <v>77.903927219447695</v>
      </c>
      <c r="D97" s="13">
        <v>65</v>
      </c>
      <c r="E97" s="13">
        <v>672</v>
      </c>
      <c r="F97" s="14">
        <v>7386.3639440486604</v>
      </c>
      <c r="G97" s="11" t="s">
        <v>38</v>
      </c>
      <c r="H97" s="13">
        <v>15</v>
      </c>
      <c r="I97" s="13">
        <v>26</v>
      </c>
      <c r="J97" s="15">
        <v>14</v>
      </c>
      <c r="K97" s="15" t="s">
        <v>52</v>
      </c>
      <c r="L97" s="13">
        <v>9</v>
      </c>
      <c r="M97" s="15" t="s">
        <v>27</v>
      </c>
      <c r="N97" s="15">
        <v>8.6303388696027508</v>
      </c>
      <c r="O97" s="15" t="s">
        <v>29</v>
      </c>
      <c r="P97" s="15">
        <v>18</v>
      </c>
      <c r="Q97" s="15">
        <v>450</v>
      </c>
      <c r="R97" s="15">
        <v>26</v>
      </c>
      <c r="S97" s="15">
        <v>58.890685768589897</v>
      </c>
      <c r="T97" s="15" t="s">
        <v>30</v>
      </c>
      <c r="U97" s="15">
        <v>1.21088212958506</v>
      </c>
      <c r="V97" s="15" t="s">
        <v>40</v>
      </c>
      <c r="W97" s="15" t="s">
        <v>48</v>
      </c>
      <c r="X97" s="15">
        <v>778.86424137664699</v>
      </c>
    </row>
    <row r="98" spans="1:24" x14ac:dyDescent="0.35">
      <c r="A98" s="6" t="s">
        <v>57</v>
      </c>
      <c r="B98" s="6" t="s">
        <v>150</v>
      </c>
      <c r="C98" s="7">
        <v>24.423131420373299</v>
      </c>
      <c r="D98" s="8">
        <v>29</v>
      </c>
      <c r="E98" s="8">
        <v>324</v>
      </c>
      <c r="F98" s="9">
        <v>7698.4247656321104</v>
      </c>
      <c r="G98" s="6" t="s">
        <v>26</v>
      </c>
      <c r="H98" s="8">
        <v>67</v>
      </c>
      <c r="I98" s="8">
        <v>32</v>
      </c>
      <c r="J98" s="10">
        <v>2</v>
      </c>
      <c r="K98" s="10" t="s">
        <v>28</v>
      </c>
      <c r="L98" s="8">
        <v>3</v>
      </c>
      <c r="M98" s="10" t="s">
        <v>43</v>
      </c>
      <c r="N98" s="10">
        <v>5.3528780439967996</v>
      </c>
      <c r="O98" s="10" t="s">
        <v>29</v>
      </c>
      <c r="P98" s="10">
        <v>28</v>
      </c>
      <c r="Q98" s="10">
        <v>648</v>
      </c>
      <c r="R98" s="10">
        <v>28</v>
      </c>
      <c r="S98" s="10">
        <v>17.803756331391199</v>
      </c>
      <c r="T98" s="10" t="s">
        <v>30</v>
      </c>
      <c r="U98" s="10">
        <v>3.8720476814821301</v>
      </c>
      <c r="V98" s="10" t="s">
        <v>31</v>
      </c>
      <c r="W98" s="10" t="s">
        <v>48</v>
      </c>
      <c r="X98" s="10">
        <v>188.74214114905601</v>
      </c>
    </row>
    <row r="99" spans="1:24" x14ac:dyDescent="0.35">
      <c r="A99" s="11" t="s">
        <v>24</v>
      </c>
      <c r="B99" s="11" t="s">
        <v>151</v>
      </c>
      <c r="C99" s="12">
        <v>3.5261112591434101</v>
      </c>
      <c r="D99" s="13">
        <v>56</v>
      </c>
      <c r="E99" s="13">
        <v>62</v>
      </c>
      <c r="F99" s="14">
        <v>4370.9165799845296</v>
      </c>
      <c r="G99" s="11" t="s">
        <v>55</v>
      </c>
      <c r="H99" s="13">
        <v>46</v>
      </c>
      <c r="I99" s="13">
        <v>4</v>
      </c>
      <c r="J99" s="15">
        <v>19</v>
      </c>
      <c r="K99" s="15" t="s">
        <v>52</v>
      </c>
      <c r="L99" s="13">
        <v>9</v>
      </c>
      <c r="M99" s="15" t="s">
        <v>36</v>
      </c>
      <c r="N99" s="15">
        <v>7.9048456112096703</v>
      </c>
      <c r="O99" s="15" t="s">
        <v>29</v>
      </c>
      <c r="P99" s="15">
        <v>10</v>
      </c>
      <c r="Q99" s="15">
        <v>535</v>
      </c>
      <c r="R99" s="15">
        <v>13</v>
      </c>
      <c r="S99" s="15">
        <v>65.765155926367399</v>
      </c>
      <c r="T99" s="15" t="s">
        <v>46</v>
      </c>
      <c r="U99" s="15">
        <v>3.3762378347179798</v>
      </c>
      <c r="V99" s="15" t="s">
        <v>31</v>
      </c>
      <c r="W99" s="15" t="s">
        <v>48</v>
      </c>
      <c r="X99" s="15">
        <v>540.13242286796697</v>
      </c>
    </row>
    <row r="100" spans="1:24" x14ac:dyDescent="0.35">
      <c r="A100" s="6" t="s">
        <v>33</v>
      </c>
      <c r="B100" s="6" t="s">
        <v>152</v>
      </c>
      <c r="C100" s="7">
        <v>19.754604866878601</v>
      </c>
      <c r="D100" s="8">
        <v>43</v>
      </c>
      <c r="E100" s="8">
        <v>913</v>
      </c>
      <c r="F100" s="9">
        <v>8525.9525596835192</v>
      </c>
      <c r="G100" s="6" t="s">
        <v>35</v>
      </c>
      <c r="H100" s="8">
        <v>53</v>
      </c>
      <c r="I100" s="8">
        <v>27</v>
      </c>
      <c r="J100" s="10">
        <v>1</v>
      </c>
      <c r="K100" s="10" t="s">
        <v>44</v>
      </c>
      <c r="L100" s="8">
        <v>7</v>
      </c>
      <c r="M100" s="10" t="s">
        <v>27</v>
      </c>
      <c r="N100" s="10">
        <v>1.4098010951380699</v>
      </c>
      <c r="O100" s="10" t="s">
        <v>62</v>
      </c>
      <c r="P100" s="10">
        <v>28</v>
      </c>
      <c r="Q100" s="10">
        <v>581</v>
      </c>
      <c r="R100" s="10">
        <v>9</v>
      </c>
      <c r="S100" s="10">
        <v>5.6046908643717801</v>
      </c>
      <c r="T100" s="10" t="s">
        <v>30</v>
      </c>
      <c r="U100" s="10">
        <v>2.9081221693512598</v>
      </c>
      <c r="V100" s="10" t="s">
        <v>47</v>
      </c>
      <c r="W100" s="10" t="s">
        <v>48</v>
      </c>
      <c r="X100" s="10">
        <v>882.19886354704101</v>
      </c>
    </row>
    <row r="101" spans="1:24" x14ac:dyDescent="0.35">
      <c r="A101" s="11" t="s">
        <v>24</v>
      </c>
      <c r="B101" s="11" t="s">
        <v>153</v>
      </c>
      <c r="C101" s="12">
        <v>68.517832699276596</v>
      </c>
      <c r="D101" s="13">
        <v>17</v>
      </c>
      <c r="E101" s="13">
        <v>627</v>
      </c>
      <c r="F101" s="14">
        <v>9185.1858291817007</v>
      </c>
      <c r="G101" s="11" t="s">
        <v>38</v>
      </c>
      <c r="H101" s="13">
        <v>55</v>
      </c>
      <c r="I101" s="13">
        <v>59</v>
      </c>
      <c r="J101" s="15">
        <v>8</v>
      </c>
      <c r="K101" s="15" t="s">
        <v>61</v>
      </c>
      <c r="L101" s="13">
        <v>6</v>
      </c>
      <c r="M101" s="15" t="s">
        <v>27</v>
      </c>
      <c r="N101" s="15">
        <v>1.3110237561206199</v>
      </c>
      <c r="O101" s="15" t="s">
        <v>62</v>
      </c>
      <c r="P101" s="15">
        <v>29</v>
      </c>
      <c r="Q101" s="15">
        <v>921</v>
      </c>
      <c r="R101" s="15">
        <v>2</v>
      </c>
      <c r="S101" s="15">
        <v>38.072898520625998</v>
      </c>
      <c r="T101" s="15" t="s">
        <v>46</v>
      </c>
      <c r="U101" s="15">
        <v>0.34602729070550298</v>
      </c>
      <c r="V101" s="15" t="s">
        <v>47</v>
      </c>
      <c r="W101" s="15" t="s">
        <v>32</v>
      </c>
      <c r="X101" s="15">
        <v>210.743008964246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C511-E38C-46A3-A31B-A6A0B2BCCDA8}">
  <dimension ref="A1:X101"/>
  <sheetViews>
    <sheetView topLeftCell="M1" workbookViewId="0">
      <selection sqref="A1:XFD1048576"/>
    </sheetView>
  </sheetViews>
  <sheetFormatPr defaultRowHeight="14.5" x14ac:dyDescent="0.35"/>
  <cols>
    <col min="1" max="1" width="11" bestFit="1" customWidth="1"/>
    <col min="2" max="2" width="6.08984375" bestFit="1" customWidth="1"/>
    <col min="3" max="3" width="11.81640625" bestFit="1" customWidth="1"/>
    <col min="4" max="4" width="9.453125" bestFit="1" customWidth="1"/>
    <col min="5" max="5" width="20.6328125" bestFit="1" customWidth="1"/>
    <col min="6" max="6" width="16.36328125" bestFit="1" customWidth="1"/>
    <col min="7" max="7" width="20.81640625" bestFit="1" customWidth="1"/>
    <col min="8" max="8" width="10.36328125" bestFit="1" customWidth="1"/>
    <col min="9" max="9" width="9.6328125" bestFit="1" customWidth="1"/>
    <col min="10" max="10" width="14" bestFit="1" customWidth="1"/>
    <col min="11" max="11" width="12.54296875" bestFit="1" customWidth="1"/>
    <col min="12" max="12" width="14.36328125" bestFit="1" customWidth="1"/>
    <col min="13" max="13" width="12.453125" bestFit="1" customWidth="1"/>
    <col min="14" max="14" width="12.26953125" bestFit="1" customWidth="1"/>
    <col min="15" max="15" width="8.90625" bestFit="1" customWidth="1"/>
    <col min="17" max="17" width="16.81640625" bestFit="1" customWidth="1"/>
    <col min="18" max="18" width="20.453125" bestFit="1" customWidth="1"/>
    <col min="19" max="19" width="17.453125" bestFit="1" customWidth="1"/>
    <col min="20" max="20" width="15.26953125" bestFit="1" customWidth="1"/>
    <col min="21" max="21" width="11.81640625" bestFit="1" customWidth="1"/>
    <col min="22" max="22" width="18.6328125" bestFit="1" customWidth="1"/>
    <col min="23" max="23" width="7.1796875" bestFit="1" customWidth="1"/>
    <col min="24" max="24" width="11.8164062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35">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35">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x14ac:dyDescent="0.35">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x14ac:dyDescent="0.35">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x14ac:dyDescent="0.35">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35">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35">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35">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35">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x14ac:dyDescent="0.35">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35">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35">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35">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x14ac:dyDescent="0.35">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x14ac:dyDescent="0.35">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35">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35">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35">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35">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35">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35">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35">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35">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35">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35">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35">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35">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35">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35">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35">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35">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35">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x14ac:dyDescent="0.35">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35">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35">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35">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35">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x14ac:dyDescent="0.35">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35">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35">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35">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35">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35">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35">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35">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x14ac:dyDescent="0.35">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35">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x14ac:dyDescent="0.35">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35">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35">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35">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35">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35">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x14ac:dyDescent="0.35">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35">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x14ac:dyDescent="0.35">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35">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x14ac:dyDescent="0.35">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x14ac:dyDescent="0.35">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35">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35">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35">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x14ac:dyDescent="0.35">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35">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35">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35">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35">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x14ac:dyDescent="0.35">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x14ac:dyDescent="0.35">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35">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35">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x14ac:dyDescent="0.35">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35">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35">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x14ac:dyDescent="0.35">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35">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35">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35">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x14ac:dyDescent="0.35">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35">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35">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35">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35">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35">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35">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35">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35">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35">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35">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x14ac:dyDescent="0.35">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35">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35">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35">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35">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35">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x14ac:dyDescent="0.35">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35">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35">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35">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22C61-97C6-455F-9C65-D17ADFA63139}">
  <dimension ref="A1"/>
  <sheetViews>
    <sheetView showGridLines="0" showRowColHeaders="0" workbookViewId="0">
      <selection activeCell="Q76" sqref="Q76"/>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40A6-4D58-4DAE-8B0E-32C0BE1F4D37}">
  <dimension ref="A1:Y102"/>
  <sheetViews>
    <sheetView workbookViewId="0">
      <selection activeCell="E103" sqref="E103"/>
    </sheetView>
  </sheetViews>
  <sheetFormatPr defaultRowHeight="14.5" x14ac:dyDescent="0.35"/>
  <cols>
    <col min="1" max="1" width="13.6328125" bestFit="1" customWidth="1"/>
    <col min="2" max="2" width="6.54296875" style="1" bestFit="1" customWidth="1"/>
    <col min="3" max="3" width="7.36328125" style="21" bestFit="1" customWidth="1"/>
    <col min="4" max="4" width="20.08984375" style="4" bestFit="1" customWidth="1"/>
    <col min="5" max="5" width="23.81640625" style="4" bestFit="1" customWidth="1"/>
    <col min="6" max="6" width="19.26953125" style="21" bestFit="1" customWidth="1"/>
    <col min="7" max="7" width="23.81640625" style="1" bestFit="1" customWidth="1"/>
    <col min="8" max="8" width="17.7265625" style="4" bestFit="1" customWidth="1"/>
    <col min="9" max="9" width="16.90625" style="4" bestFit="1" customWidth="1"/>
    <col min="10" max="10" width="24.453125" bestFit="1" customWidth="1"/>
    <col min="11" max="11" width="16" style="1" bestFit="1" customWidth="1"/>
    <col min="12" max="12" width="10.26953125" style="1" bestFit="1" customWidth="1"/>
    <col min="13" max="13" width="19.90625" style="4" bestFit="1" customWidth="1"/>
    <col min="14" max="14" width="29.6328125" bestFit="1" customWidth="1"/>
    <col min="15" max="15" width="20.26953125" style="21" bestFit="1" customWidth="1"/>
    <col min="16" max="16" width="18.1796875" style="1" bestFit="1" customWidth="1"/>
    <col min="17" max="17" width="13.1796875" style="3" bestFit="1" customWidth="1"/>
    <col min="18" max="18" width="16.08984375" style="22" bestFit="1" customWidth="1"/>
    <col min="19" max="19" width="15.7265625" style="4" bestFit="1" customWidth="1"/>
    <col min="20" max="20" width="17.36328125" style="1" bestFit="1" customWidth="1"/>
    <col min="21" max="21" width="15.453125" style="21" bestFit="1" customWidth="1"/>
    <col min="22" max="22" width="24.7265625" style="4" bestFit="1" customWidth="1"/>
    <col min="23" max="23" width="21.453125" style="1" bestFit="1" customWidth="1"/>
    <col min="24" max="24" width="8.90625" style="1" bestFit="1" customWidth="1"/>
    <col min="25" max="25" width="7.81640625" style="21" bestFit="1" customWidth="1"/>
    <col min="26" max="26" width="21.453125" bestFit="1" customWidth="1"/>
    <col min="27" max="27" width="8.90625" bestFit="1" customWidth="1"/>
    <col min="28" max="28" width="11.81640625" bestFit="1" customWidth="1"/>
  </cols>
  <sheetData>
    <row r="1" spans="1:25" x14ac:dyDescent="0.35">
      <c r="A1" s="1" t="s">
        <v>0</v>
      </c>
      <c r="B1" s="1" t="s">
        <v>1</v>
      </c>
      <c r="C1" s="21" t="s">
        <v>2</v>
      </c>
      <c r="D1" s="4" t="s">
        <v>160</v>
      </c>
      <c r="E1" s="4" t="s">
        <v>4</v>
      </c>
      <c r="F1" s="21" t="s">
        <v>5</v>
      </c>
      <c r="G1" s="1" t="s">
        <v>6</v>
      </c>
      <c r="H1" s="4" t="s">
        <v>161</v>
      </c>
      <c r="I1" s="4" t="s">
        <v>155</v>
      </c>
      <c r="J1" t="s">
        <v>157</v>
      </c>
      <c r="K1" s="1" t="s">
        <v>156</v>
      </c>
      <c r="L1" s="1" t="s">
        <v>14</v>
      </c>
      <c r="M1" s="4" t="s">
        <v>16</v>
      </c>
      <c r="N1" t="s">
        <v>158</v>
      </c>
      <c r="O1" s="21" t="s">
        <v>18</v>
      </c>
      <c r="P1" s="1" t="s">
        <v>19</v>
      </c>
      <c r="Q1" s="3" t="s">
        <v>20</v>
      </c>
      <c r="R1" s="22" t="s">
        <v>162</v>
      </c>
      <c r="S1" s="4" t="s">
        <v>10</v>
      </c>
      <c r="T1" s="1" t="s">
        <v>11</v>
      </c>
      <c r="U1" s="21" t="s">
        <v>12</v>
      </c>
      <c r="V1" s="4" t="s">
        <v>159</v>
      </c>
      <c r="W1" s="1" t="s">
        <v>21</v>
      </c>
      <c r="X1" s="1" t="s">
        <v>22</v>
      </c>
      <c r="Y1" s="21" t="s">
        <v>23</v>
      </c>
    </row>
    <row r="2" spans="1:25" x14ac:dyDescent="0.35">
      <c r="A2" t="s">
        <v>24</v>
      </c>
      <c r="B2" s="1" t="s">
        <v>25</v>
      </c>
      <c r="C2" s="21">
        <v>69.808000000000007</v>
      </c>
      <c r="D2" s="4">
        <v>55</v>
      </c>
      <c r="E2" s="4">
        <v>802</v>
      </c>
      <c r="F2" s="21">
        <v>8661.9968000000008</v>
      </c>
      <c r="G2" s="1" t="s">
        <v>26</v>
      </c>
      <c r="H2" s="4">
        <v>58</v>
      </c>
      <c r="I2" s="4">
        <v>96</v>
      </c>
      <c r="J2">
        <v>7</v>
      </c>
      <c r="K2" s="1" t="s">
        <v>28</v>
      </c>
      <c r="L2" s="1" t="s">
        <v>29</v>
      </c>
      <c r="M2" s="4">
        <v>215</v>
      </c>
      <c r="N2">
        <v>29</v>
      </c>
      <c r="O2" s="21">
        <v>46.279899999999998</v>
      </c>
      <c r="P2" s="1" t="s">
        <v>30</v>
      </c>
      <c r="Q2" s="3">
        <v>0.226410360849925</v>
      </c>
      <c r="R2" s="22">
        <f>Glow[[#This Row],[Defect rates]]/100</f>
        <v>2.2641036084992501E-3</v>
      </c>
      <c r="S2" s="4">
        <v>4</v>
      </c>
      <c r="T2" s="1" t="s">
        <v>27</v>
      </c>
      <c r="U2" s="21">
        <v>2.9565721394308002</v>
      </c>
      <c r="V2" s="4">
        <v>29</v>
      </c>
      <c r="W2" s="1" t="s">
        <v>31</v>
      </c>
      <c r="X2" s="1" t="s">
        <v>32</v>
      </c>
      <c r="Y2" s="21">
        <v>187.75210000000001</v>
      </c>
    </row>
    <row r="3" spans="1:25" x14ac:dyDescent="0.35">
      <c r="A3" t="s">
        <v>33</v>
      </c>
      <c r="B3" s="1" t="s">
        <v>34</v>
      </c>
      <c r="C3" s="21">
        <v>14.843500000000001</v>
      </c>
      <c r="D3" s="4">
        <v>95</v>
      </c>
      <c r="E3" s="4">
        <v>736</v>
      </c>
      <c r="F3" s="21">
        <v>7460.9000999999998</v>
      </c>
      <c r="G3" s="1" t="s">
        <v>35</v>
      </c>
      <c r="H3" s="4">
        <v>53</v>
      </c>
      <c r="I3" s="4">
        <v>37</v>
      </c>
      <c r="J3">
        <v>30</v>
      </c>
      <c r="K3" s="1" t="s">
        <v>28</v>
      </c>
      <c r="L3" s="1" t="s">
        <v>29</v>
      </c>
      <c r="M3" s="4">
        <v>517</v>
      </c>
      <c r="N3">
        <v>30</v>
      </c>
      <c r="O3" s="21">
        <v>33.616799999999998</v>
      </c>
      <c r="P3" s="1" t="s">
        <v>30</v>
      </c>
      <c r="Q3" s="3">
        <v>4.8540680263886999</v>
      </c>
      <c r="R3" s="22">
        <f>Glow[[#This Row],[Defect rates]]/100</f>
        <v>4.8540680263886998E-2</v>
      </c>
      <c r="S3" s="4">
        <v>2</v>
      </c>
      <c r="T3" s="1" t="s">
        <v>36</v>
      </c>
      <c r="U3" s="21">
        <v>9.7165747714313095</v>
      </c>
      <c r="V3" s="4">
        <v>23</v>
      </c>
      <c r="W3" s="1" t="s">
        <v>31</v>
      </c>
      <c r="X3" s="1" t="s">
        <v>32</v>
      </c>
      <c r="Y3" s="21">
        <v>503.06560000000002</v>
      </c>
    </row>
    <row r="4" spans="1:25" x14ac:dyDescent="0.35">
      <c r="A4" t="s">
        <v>24</v>
      </c>
      <c r="B4" s="1" t="s">
        <v>37</v>
      </c>
      <c r="C4" s="21">
        <v>11.319699999999999</v>
      </c>
      <c r="D4" s="4">
        <v>34</v>
      </c>
      <c r="E4" s="4">
        <v>8</v>
      </c>
      <c r="F4" s="21">
        <v>9577.7495999999992</v>
      </c>
      <c r="G4" s="1" t="s">
        <v>38</v>
      </c>
      <c r="H4" s="4">
        <v>1</v>
      </c>
      <c r="I4" s="4">
        <v>88</v>
      </c>
      <c r="J4">
        <v>10</v>
      </c>
      <c r="K4" s="1" t="s">
        <v>39</v>
      </c>
      <c r="L4" s="1" t="s">
        <v>29</v>
      </c>
      <c r="M4" s="4">
        <v>971</v>
      </c>
      <c r="N4">
        <v>27</v>
      </c>
      <c r="O4" s="21">
        <v>30.687999999999999</v>
      </c>
      <c r="P4" s="1" t="s">
        <v>30</v>
      </c>
      <c r="Q4" s="3">
        <v>4.5805926191992201</v>
      </c>
      <c r="R4" s="22">
        <f>Glow[[#This Row],[Defect rates]]/100</f>
        <v>4.5805926191992204E-2</v>
      </c>
      <c r="S4" s="4">
        <v>2</v>
      </c>
      <c r="T4" s="1" t="s">
        <v>27</v>
      </c>
      <c r="U4" s="21">
        <v>8.0544792617321495</v>
      </c>
      <c r="V4" s="4">
        <v>12</v>
      </c>
      <c r="W4" s="1" t="s">
        <v>40</v>
      </c>
      <c r="X4" s="1" t="s">
        <v>41</v>
      </c>
      <c r="Y4" s="21">
        <v>141.9203</v>
      </c>
    </row>
    <row r="5" spans="1:25" x14ac:dyDescent="0.35">
      <c r="A5" t="s">
        <v>33</v>
      </c>
      <c r="B5" s="1" t="s">
        <v>42</v>
      </c>
      <c r="C5" s="21">
        <v>61.1633</v>
      </c>
      <c r="D5" s="4">
        <v>68</v>
      </c>
      <c r="E5" s="4">
        <v>83</v>
      </c>
      <c r="F5" s="21">
        <v>7766.8364000000001</v>
      </c>
      <c r="G5" s="1" t="s">
        <v>26</v>
      </c>
      <c r="H5" s="4">
        <v>23</v>
      </c>
      <c r="I5" s="4">
        <v>59</v>
      </c>
      <c r="J5">
        <v>13</v>
      </c>
      <c r="K5" s="1" t="s">
        <v>44</v>
      </c>
      <c r="L5" s="1" t="s">
        <v>45</v>
      </c>
      <c r="M5" s="4">
        <v>937</v>
      </c>
      <c r="N5">
        <v>18</v>
      </c>
      <c r="O5" s="21">
        <v>35.624699999999997</v>
      </c>
      <c r="P5" s="1" t="s">
        <v>46</v>
      </c>
      <c r="Q5" s="3">
        <v>4.7466486206477496</v>
      </c>
      <c r="R5" s="22">
        <f>Glow[[#This Row],[Defect rates]]/100</f>
        <v>4.7466486206477497E-2</v>
      </c>
      <c r="S5" s="4">
        <v>6</v>
      </c>
      <c r="T5" s="1" t="s">
        <v>43</v>
      </c>
      <c r="U5" s="21">
        <v>1.7295685635434199</v>
      </c>
      <c r="V5" s="4">
        <v>24</v>
      </c>
      <c r="W5" s="1" t="s">
        <v>47</v>
      </c>
      <c r="X5" s="1" t="s">
        <v>48</v>
      </c>
      <c r="Y5" s="21">
        <v>254.77619999999999</v>
      </c>
    </row>
    <row r="6" spans="1:25" x14ac:dyDescent="0.35">
      <c r="A6" t="s">
        <v>33</v>
      </c>
      <c r="B6" s="1" t="s">
        <v>49</v>
      </c>
      <c r="C6" s="21">
        <v>4.8055000000000003</v>
      </c>
      <c r="D6" s="4">
        <v>26</v>
      </c>
      <c r="E6" s="4">
        <v>871</v>
      </c>
      <c r="F6" s="21">
        <v>2686.5052000000001</v>
      </c>
      <c r="G6" s="1" t="s">
        <v>26</v>
      </c>
      <c r="H6" s="4">
        <v>5</v>
      </c>
      <c r="I6" s="4">
        <v>56</v>
      </c>
      <c r="J6">
        <v>3</v>
      </c>
      <c r="K6" s="1" t="s">
        <v>39</v>
      </c>
      <c r="L6" s="1" t="s">
        <v>50</v>
      </c>
      <c r="M6" s="4">
        <v>414</v>
      </c>
      <c r="N6">
        <v>3</v>
      </c>
      <c r="O6" s="21">
        <v>92.065200000000004</v>
      </c>
      <c r="P6" s="1" t="s">
        <v>46</v>
      </c>
      <c r="Q6" s="3">
        <v>3.1455795228330001</v>
      </c>
      <c r="R6" s="22">
        <f>Glow[[#This Row],[Defect rates]]/100</f>
        <v>3.1455795228330002E-2</v>
      </c>
      <c r="S6" s="4">
        <v>8</v>
      </c>
      <c r="T6" s="1" t="s">
        <v>36</v>
      </c>
      <c r="U6" s="21">
        <v>3.8905479158706702</v>
      </c>
      <c r="V6" s="4">
        <v>5</v>
      </c>
      <c r="W6" s="1" t="s">
        <v>40</v>
      </c>
      <c r="X6" s="1" t="s">
        <v>48</v>
      </c>
      <c r="Y6" s="21">
        <v>923.44060000000002</v>
      </c>
    </row>
    <row r="7" spans="1:25" x14ac:dyDescent="0.35">
      <c r="A7" t="s">
        <v>24</v>
      </c>
      <c r="B7" s="1" t="s">
        <v>51</v>
      </c>
      <c r="C7" s="21">
        <v>1.7</v>
      </c>
      <c r="D7" s="4">
        <v>87</v>
      </c>
      <c r="E7" s="4">
        <v>147</v>
      </c>
      <c r="F7" s="21">
        <v>2828.3487</v>
      </c>
      <c r="G7" s="1" t="s">
        <v>26</v>
      </c>
      <c r="H7" s="4">
        <v>90</v>
      </c>
      <c r="I7" s="4">
        <v>66</v>
      </c>
      <c r="J7">
        <v>27</v>
      </c>
      <c r="K7" s="1" t="s">
        <v>52</v>
      </c>
      <c r="L7" s="1" t="s">
        <v>53</v>
      </c>
      <c r="M7" s="4">
        <v>104</v>
      </c>
      <c r="N7">
        <v>17</v>
      </c>
      <c r="O7" s="21">
        <v>56.766500000000001</v>
      </c>
      <c r="P7" s="1" t="s">
        <v>46</v>
      </c>
      <c r="Q7" s="3">
        <v>2.7791935115711599</v>
      </c>
      <c r="R7" s="22">
        <f>Glow[[#This Row],[Defect rates]]/100</f>
        <v>2.77919351157116E-2</v>
      </c>
      <c r="S7" s="4">
        <v>3</v>
      </c>
      <c r="T7" s="1" t="s">
        <v>27</v>
      </c>
      <c r="U7" s="21">
        <v>4.4440988643822896</v>
      </c>
      <c r="V7" s="4">
        <v>10</v>
      </c>
      <c r="W7" s="1" t="s">
        <v>31</v>
      </c>
      <c r="X7" s="1" t="s">
        <v>48</v>
      </c>
      <c r="Y7" s="21">
        <v>235.46119999999999</v>
      </c>
    </row>
    <row r="8" spans="1:25" x14ac:dyDescent="0.35">
      <c r="A8" t="s">
        <v>33</v>
      </c>
      <c r="B8" s="1" t="s">
        <v>54</v>
      </c>
      <c r="C8" s="21">
        <v>4.0782999999999996</v>
      </c>
      <c r="D8" s="4">
        <v>48</v>
      </c>
      <c r="E8" s="4">
        <v>65</v>
      </c>
      <c r="F8" s="21">
        <v>7823.4766</v>
      </c>
      <c r="G8" s="1" t="s">
        <v>55</v>
      </c>
      <c r="H8" s="4">
        <v>11</v>
      </c>
      <c r="I8" s="4">
        <v>58</v>
      </c>
      <c r="J8">
        <v>15</v>
      </c>
      <c r="K8" s="1" t="s">
        <v>28</v>
      </c>
      <c r="L8" s="1" t="s">
        <v>45</v>
      </c>
      <c r="M8" s="4">
        <v>314</v>
      </c>
      <c r="N8">
        <v>24</v>
      </c>
      <c r="O8" s="21">
        <v>1.0851</v>
      </c>
      <c r="P8" s="1" t="s">
        <v>30</v>
      </c>
      <c r="Q8" s="3">
        <v>1.0009106193041299</v>
      </c>
      <c r="R8" s="22">
        <f>Glow[[#This Row],[Defect rates]]/100</f>
        <v>1.00091061930413E-2</v>
      </c>
      <c r="S8" s="4">
        <v>8</v>
      </c>
      <c r="T8" s="1" t="s">
        <v>43</v>
      </c>
      <c r="U8" s="21">
        <v>3.8807633029519999</v>
      </c>
      <c r="V8" s="4">
        <v>14</v>
      </c>
      <c r="W8" s="1" t="s">
        <v>56</v>
      </c>
      <c r="X8" s="1" t="s">
        <v>48</v>
      </c>
      <c r="Y8" s="21">
        <v>134.3691</v>
      </c>
    </row>
    <row r="9" spans="1:25" x14ac:dyDescent="0.35">
      <c r="A9" t="s">
        <v>57</v>
      </c>
      <c r="B9" s="1" t="s">
        <v>58</v>
      </c>
      <c r="C9" s="21">
        <v>42.958399999999997</v>
      </c>
      <c r="D9" s="4">
        <v>59</v>
      </c>
      <c r="E9" s="4">
        <v>426</v>
      </c>
      <c r="F9" s="21">
        <v>8496.1038000000008</v>
      </c>
      <c r="G9" s="1" t="s">
        <v>35</v>
      </c>
      <c r="H9" s="4">
        <v>93</v>
      </c>
      <c r="I9" s="4">
        <v>11</v>
      </c>
      <c r="J9">
        <v>17</v>
      </c>
      <c r="K9" s="1" t="s">
        <v>52</v>
      </c>
      <c r="L9" s="1" t="s">
        <v>53</v>
      </c>
      <c r="M9" s="4">
        <v>564</v>
      </c>
      <c r="N9">
        <v>1</v>
      </c>
      <c r="O9" s="21">
        <v>99.466099999999997</v>
      </c>
      <c r="P9" s="1" t="s">
        <v>46</v>
      </c>
      <c r="Q9" s="3">
        <v>0.39817718685065001</v>
      </c>
      <c r="R9" s="22">
        <f>Glow[[#This Row],[Defect rates]]/100</f>
        <v>3.9817718685065005E-3</v>
      </c>
      <c r="S9" s="4">
        <v>1</v>
      </c>
      <c r="T9" s="1" t="s">
        <v>27</v>
      </c>
      <c r="U9" s="21">
        <v>2.3483387844177801</v>
      </c>
      <c r="V9" s="4">
        <v>22</v>
      </c>
      <c r="W9" s="1" t="s">
        <v>31</v>
      </c>
      <c r="X9" s="1" t="s">
        <v>41</v>
      </c>
      <c r="Y9" s="21">
        <v>802.05629999999996</v>
      </c>
    </row>
    <row r="10" spans="1:25" x14ac:dyDescent="0.35">
      <c r="A10" t="s">
        <v>57</v>
      </c>
      <c r="B10" s="1" t="s">
        <v>59</v>
      </c>
      <c r="C10" s="21">
        <v>68.717600000000004</v>
      </c>
      <c r="D10" s="4">
        <v>78</v>
      </c>
      <c r="E10" s="4">
        <v>150</v>
      </c>
      <c r="F10" s="21">
        <v>7517.3631999999998</v>
      </c>
      <c r="G10" s="1" t="s">
        <v>35</v>
      </c>
      <c r="H10" s="4">
        <v>5</v>
      </c>
      <c r="I10" s="4">
        <v>15</v>
      </c>
      <c r="J10">
        <v>10</v>
      </c>
      <c r="K10" s="1" t="s">
        <v>52</v>
      </c>
      <c r="L10" s="1" t="s">
        <v>29</v>
      </c>
      <c r="M10" s="4">
        <v>769</v>
      </c>
      <c r="N10">
        <v>8</v>
      </c>
      <c r="O10" s="21">
        <v>11.423</v>
      </c>
      <c r="P10" s="1" t="s">
        <v>30</v>
      </c>
      <c r="Q10" s="3">
        <v>2.7098626911099601</v>
      </c>
      <c r="R10" s="22">
        <f>Glow[[#This Row],[Defect rates]]/100</f>
        <v>2.7098626911099603E-2</v>
      </c>
      <c r="S10" s="4">
        <v>7</v>
      </c>
      <c r="T10" s="1" t="s">
        <v>43</v>
      </c>
      <c r="U10" s="21">
        <v>3.4047338570830199</v>
      </c>
      <c r="V10" s="4">
        <v>13</v>
      </c>
      <c r="W10" s="1" t="s">
        <v>56</v>
      </c>
      <c r="X10" s="1" t="s">
        <v>32</v>
      </c>
      <c r="Y10" s="21">
        <v>505.55709999999999</v>
      </c>
    </row>
    <row r="11" spans="1:25" x14ac:dyDescent="0.35">
      <c r="A11" t="s">
        <v>33</v>
      </c>
      <c r="B11" s="1" t="s">
        <v>60</v>
      </c>
      <c r="C11" s="21">
        <v>64.015699999999995</v>
      </c>
      <c r="D11" s="4">
        <v>35</v>
      </c>
      <c r="E11" s="4">
        <v>980</v>
      </c>
      <c r="F11" s="21">
        <v>4971.1459999999997</v>
      </c>
      <c r="G11" s="1" t="s">
        <v>38</v>
      </c>
      <c r="H11" s="4">
        <v>14</v>
      </c>
      <c r="I11" s="4">
        <v>83</v>
      </c>
      <c r="J11">
        <v>27</v>
      </c>
      <c r="K11" s="1" t="s">
        <v>61</v>
      </c>
      <c r="L11" s="1" t="s">
        <v>62</v>
      </c>
      <c r="M11" s="4">
        <v>963</v>
      </c>
      <c r="N11">
        <v>23</v>
      </c>
      <c r="O11" s="21">
        <v>47.957599999999999</v>
      </c>
      <c r="P11" s="1" t="s">
        <v>30</v>
      </c>
      <c r="Q11" s="3">
        <v>3.8446144787675798</v>
      </c>
      <c r="R11" s="22">
        <f>Glow[[#This Row],[Defect rates]]/100</f>
        <v>3.8446144787675801E-2</v>
      </c>
      <c r="S11" s="4">
        <v>1</v>
      </c>
      <c r="T11" s="1" t="s">
        <v>36</v>
      </c>
      <c r="U11" s="21">
        <v>7.1666452910482104</v>
      </c>
      <c r="V11" s="4">
        <v>29</v>
      </c>
      <c r="W11" s="1" t="s">
        <v>47</v>
      </c>
      <c r="X11" s="1" t="s">
        <v>32</v>
      </c>
      <c r="Y11" s="21">
        <v>995.92949999999996</v>
      </c>
    </row>
    <row r="12" spans="1:25" x14ac:dyDescent="0.35">
      <c r="A12" t="s">
        <v>33</v>
      </c>
      <c r="B12" s="1" t="s">
        <v>63</v>
      </c>
      <c r="C12" s="21">
        <v>15.707800000000001</v>
      </c>
      <c r="D12" s="4">
        <v>11</v>
      </c>
      <c r="E12" s="4">
        <v>996</v>
      </c>
      <c r="F12" s="21">
        <v>2330.9657999999999</v>
      </c>
      <c r="G12" s="1" t="s">
        <v>26</v>
      </c>
      <c r="H12" s="4">
        <v>51</v>
      </c>
      <c r="I12" s="4">
        <v>80</v>
      </c>
      <c r="J12">
        <v>13</v>
      </c>
      <c r="K12" s="1" t="s">
        <v>44</v>
      </c>
      <c r="L12" s="1" t="s">
        <v>45</v>
      </c>
      <c r="M12" s="4">
        <v>830</v>
      </c>
      <c r="N12">
        <v>5</v>
      </c>
      <c r="O12" s="21">
        <v>96.5274</v>
      </c>
      <c r="P12" s="1" t="s">
        <v>64</v>
      </c>
      <c r="Q12" s="3">
        <v>1.72731392835594</v>
      </c>
      <c r="R12" s="22">
        <f>Glow[[#This Row],[Defect rates]]/100</f>
        <v>1.7273139283559402E-2</v>
      </c>
      <c r="S12" s="4">
        <v>2</v>
      </c>
      <c r="T12" s="1" t="s">
        <v>43</v>
      </c>
      <c r="U12" s="21">
        <v>8.6732112112786108</v>
      </c>
      <c r="V12" s="4">
        <v>18</v>
      </c>
      <c r="W12" s="1" t="s">
        <v>31</v>
      </c>
      <c r="X12" s="1" t="s">
        <v>32</v>
      </c>
      <c r="Y12" s="21">
        <v>806.10320000000002</v>
      </c>
    </row>
    <row r="13" spans="1:25" x14ac:dyDescent="0.35">
      <c r="A13" t="s">
        <v>33</v>
      </c>
      <c r="B13" s="1" t="s">
        <v>65</v>
      </c>
      <c r="C13" s="21">
        <v>90.635499999999993</v>
      </c>
      <c r="D13" s="4">
        <v>95</v>
      </c>
      <c r="E13" s="4">
        <v>960</v>
      </c>
      <c r="F13" s="21">
        <v>6099.9440999999997</v>
      </c>
      <c r="G13" s="1" t="s">
        <v>35</v>
      </c>
      <c r="H13" s="4">
        <v>46</v>
      </c>
      <c r="I13" s="4">
        <v>60</v>
      </c>
      <c r="J13">
        <v>23</v>
      </c>
      <c r="K13" s="1" t="s">
        <v>61</v>
      </c>
      <c r="L13" s="1" t="s">
        <v>45</v>
      </c>
      <c r="M13" s="4">
        <v>362</v>
      </c>
      <c r="N13">
        <v>11</v>
      </c>
      <c r="O13" s="21">
        <v>27.592400000000001</v>
      </c>
      <c r="P13" s="1" t="s">
        <v>30</v>
      </c>
      <c r="Q13" s="3">
        <v>2.1169821372994301E-2</v>
      </c>
      <c r="R13" s="22">
        <f>Glow[[#This Row],[Defect rates]]/100</f>
        <v>2.11698213729943E-4</v>
      </c>
      <c r="S13" s="4">
        <v>1</v>
      </c>
      <c r="T13" s="1" t="s">
        <v>36</v>
      </c>
      <c r="U13" s="21">
        <v>4.5239431243166601</v>
      </c>
      <c r="V13" s="4">
        <v>28</v>
      </c>
      <c r="W13" s="1" t="s">
        <v>40</v>
      </c>
      <c r="X13" s="1" t="s">
        <v>48</v>
      </c>
      <c r="Y13" s="21">
        <v>126.723</v>
      </c>
    </row>
    <row r="14" spans="1:25" x14ac:dyDescent="0.35">
      <c r="A14" t="s">
        <v>24</v>
      </c>
      <c r="B14" s="1" t="s">
        <v>66</v>
      </c>
      <c r="C14" s="21">
        <v>71.213399999999993</v>
      </c>
      <c r="D14" s="4">
        <v>41</v>
      </c>
      <c r="E14" s="4">
        <v>336</v>
      </c>
      <c r="F14" s="21">
        <v>2873.7413999999999</v>
      </c>
      <c r="G14" s="1" t="s">
        <v>38</v>
      </c>
      <c r="H14" s="4">
        <v>100</v>
      </c>
      <c r="I14" s="4">
        <v>85</v>
      </c>
      <c r="J14">
        <v>30</v>
      </c>
      <c r="K14" s="1" t="s">
        <v>52</v>
      </c>
      <c r="L14" s="1" t="s">
        <v>45</v>
      </c>
      <c r="M14" s="4">
        <v>563</v>
      </c>
      <c r="N14">
        <v>3</v>
      </c>
      <c r="O14" s="21">
        <v>32.321300000000001</v>
      </c>
      <c r="P14" s="1" t="s">
        <v>46</v>
      </c>
      <c r="Q14" s="3">
        <v>2.1612537475559099</v>
      </c>
      <c r="R14" s="22">
        <f>Glow[[#This Row],[Defect rates]]/100</f>
        <v>2.16125374755591E-2</v>
      </c>
      <c r="S14" s="4">
        <v>4</v>
      </c>
      <c r="T14" s="1" t="s">
        <v>36</v>
      </c>
      <c r="U14" s="21">
        <v>1.32527401018452</v>
      </c>
      <c r="V14" s="4">
        <v>3</v>
      </c>
      <c r="W14" s="1" t="s">
        <v>31</v>
      </c>
      <c r="X14" s="1" t="s">
        <v>32</v>
      </c>
      <c r="Y14" s="21">
        <v>402.96879999999999</v>
      </c>
    </row>
    <row r="15" spans="1:25" x14ac:dyDescent="0.35">
      <c r="A15" t="s">
        <v>33</v>
      </c>
      <c r="B15" s="1" t="s">
        <v>67</v>
      </c>
      <c r="C15" s="21">
        <v>16.160399999999999</v>
      </c>
      <c r="D15" s="4">
        <v>5</v>
      </c>
      <c r="E15" s="4">
        <v>249</v>
      </c>
      <c r="F15" s="21">
        <v>4052.7384000000002</v>
      </c>
      <c r="G15" s="1" t="s">
        <v>55</v>
      </c>
      <c r="H15" s="4">
        <v>80</v>
      </c>
      <c r="I15" s="4">
        <v>48</v>
      </c>
      <c r="J15">
        <v>8</v>
      </c>
      <c r="K15" s="1" t="s">
        <v>44</v>
      </c>
      <c r="L15" s="1" t="s">
        <v>53</v>
      </c>
      <c r="M15" s="4">
        <v>173</v>
      </c>
      <c r="N15">
        <v>10</v>
      </c>
      <c r="O15" s="21">
        <v>97.829099999999997</v>
      </c>
      <c r="P15" s="1" t="s">
        <v>30</v>
      </c>
      <c r="Q15" s="3">
        <v>1.63107423007153</v>
      </c>
      <c r="R15" s="22">
        <f>Glow[[#This Row],[Defect rates]]/100</f>
        <v>1.6310742300715299E-2</v>
      </c>
      <c r="S15" s="4">
        <v>9</v>
      </c>
      <c r="T15" s="1" t="s">
        <v>36</v>
      </c>
      <c r="U15" s="21">
        <v>9.5372830611083295</v>
      </c>
      <c r="V15" s="4">
        <v>23</v>
      </c>
      <c r="W15" s="1" t="s">
        <v>31</v>
      </c>
      <c r="X15" s="1" t="s">
        <v>32</v>
      </c>
      <c r="Y15" s="21">
        <v>547.24099999999999</v>
      </c>
    </row>
    <row r="16" spans="1:25" x14ac:dyDescent="0.35">
      <c r="A16" t="s">
        <v>33</v>
      </c>
      <c r="B16" s="1" t="s">
        <v>68</v>
      </c>
      <c r="C16" s="21">
        <v>99.171300000000002</v>
      </c>
      <c r="D16" s="4">
        <v>26</v>
      </c>
      <c r="E16" s="4">
        <v>562</v>
      </c>
      <c r="F16" s="21">
        <v>8653.5709000000006</v>
      </c>
      <c r="G16" s="1" t="s">
        <v>26</v>
      </c>
      <c r="H16" s="4">
        <v>54</v>
      </c>
      <c r="I16" s="4">
        <v>78</v>
      </c>
      <c r="J16">
        <v>29</v>
      </c>
      <c r="K16" s="1" t="s">
        <v>39</v>
      </c>
      <c r="L16" s="1" t="s">
        <v>45</v>
      </c>
      <c r="M16" s="4">
        <v>558</v>
      </c>
      <c r="N16">
        <v>14</v>
      </c>
      <c r="O16" s="21">
        <v>5.7914000000000003</v>
      </c>
      <c r="P16" s="1" t="s">
        <v>30</v>
      </c>
      <c r="Q16" s="3">
        <v>0.100682851565093</v>
      </c>
      <c r="R16" s="22">
        <f>Glow[[#This Row],[Defect rates]]/100</f>
        <v>1.0068285156509301E-3</v>
      </c>
      <c r="S16" s="4">
        <v>5</v>
      </c>
      <c r="T16" s="1" t="s">
        <v>27</v>
      </c>
      <c r="U16" s="21">
        <v>2.0397701894493299</v>
      </c>
      <c r="V16" s="4">
        <v>25</v>
      </c>
      <c r="W16" s="1" t="s">
        <v>40</v>
      </c>
      <c r="X16" s="1" t="s">
        <v>32</v>
      </c>
      <c r="Y16" s="21">
        <v>929.23530000000005</v>
      </c>
    </row>
    <row r="17" spans="1:25" x14ac:dyDescent="0.35">
      <c r="A17" t="s">
        <v>33</v>
      </c>
      <c r="B17" s="1" t="s">
        <v>69</v>
      </c>
      <c r="C17" s="21">
        <v>36.989199999999997</v>
      </c>
      <c r="D17" s="4">
        <v>94</v>
      </c>
      <c r="E17" s="4">
        <v>469</v>
      </c>
      <c r="F17" s="21">
        <v>5442.0868</v>
      </c>
      <c r="G17" s="1" t="s">
        <v>26</v>
      </c>
      <c r="H17" s="4">
        <v>9</v>
      </c>
      <c r="I17" s="4">
        <v>69</v>
      </c>
      <c r="J17">
        <v>8</v>
      </c>
      <c r="K17" s="1" t="s">
        <v>39</v>
      </c>
      <c r="L17" s="1" t="s">
        <v>53</v>
      </c>
      <c r="M17" s="4">
        <v>580</v>
      </c>
      <c r="N17">
        <v>7</v>
      </c>
      <c r="O17" s="21">
        <v>97.121300000000005</v>
      </c>
      <c r="P17" s="1" t="s">
        <v>64</v>
      </c>
      <c r="Q17" s="3">
        <v>2.2644057611985402</v>
      </c>
      <c r="R17" s="22">
        <f>Glow[[#This Row],[Defect rates]]/100</f>
        <v>2.2644057611985402E-2</v>
      </c>
      <c r="S17" s="4">
        <v>7</v>
      </c>
      <c r="T17" s="1" t="s">
        <v>27</v>
      </c>
      <c r="U17" s="21">
        <v>2.4220397232752</v>
      </c>
      <c r="V17" s="4">
        <v>14</v>
      </c>
      <c r="W17" s="1" t="s">
        <v>56</v>
      </c>
      <c r="X17" s="1" t="s">
        <v>32</v>
      </c>
      <c r="Y17" s="21">
        <v>127.8618</v>
      </c>
    </row>
    <row r="18" spans="1:25" x14ac:dyDescent="0.35">
      <c r="A18" t="s">
        <v>33</v>
      </c>
      <c r="B18" s="1" t="s">
        <v>70</v>
      </c>
      <c r="C18" s="21">
        <v>7.5472000000000001</v>
      </c>
      <c r="D18" s="4">
        <v>74</v>
      </c>
      <c r="E18" s="4">
        <v>280</v>
      </c>
      <c r="F18" s="21">
        <v>6453.7979999999998</v>
      </c>
      <c r="G18" s="1" t="s">
        <v>35</v>
      </c>
      <c r="H18" s="4">
        <v>2</v>
      </c>
      <c r="I18" s="4">
        <v>78</v>
      </c>
      <c r="J18">
        <v>5</v>
      </c>
      <c r="K18" s="1" t="s">
        <v>39</v>
      </c>
      <c r="L18" s="1" t="s">
        <v>53</v>
      </c>
      <c r="M18" s="4">
        <v>399</v>
      </c>
      <c r="N18">
        <v>21</v>
      </c>
      <c r="O18" s="21">
        <v>77.106300000000005</v>
      </c>
      <c r="P18" s="1" t="s">
        <v>64</v>
      </c>
      <c r="Q18" s="3">
        <v>1.01256308925804</v>
      </c>
      <c r="R18" s="22">
        <f>Glow[[#This Row],[Defect rates]]/100</f>
        <v>1.01256308925804E-2</v>
      </c>
      <c r="S18" s="4">
        <v>1</v>
      </c>
      <c r="T18" s="1" t="s">
        <v>27</v>
      </c>
      <c r="U18" s="21">
        <v>4.1913245857054999</v>
      </c>
      <c r="V18" s="4">
        <v>3</v>
      </c>
      <c r="W18" s="1" t="s">
        <v>40</v>
      </c>
      <c r="X18" s="1" t="s">
        <v>48</v>
      </c>
      <c r="Y18" s="21">
        <v>865.5258</v>
      </c>
    </row>
    <row r="19" spans="1:25" x14ac:dyDescent="0.35">
      <c r="A19" t="s">
        <v>57</v>
      </c>
      <c r="B19" s="1" t="s">
        <v>71</v>
      </c>
      <c r="C19" s="21">
        <v>81.462500000000006</v>
      </c>
      <c r="D19" s="4">
        <v>82</v>
      </c>
      <c r="E19" s="4">
        <v>126</v>
      </c>
      <c r="F19" s="21">
        <v>2629.3964000000001</v>
      </c>
      <c r="G19" s="1" t="s">
        <v>35</v>
      </c>
      <c r="H19" s="4">
        <v>45</v>
      </c>
      <c r="I19" s="4">
        <v>85</v>
      </c>
      <c r="J19">
        <v>17</v>
      </c>
      <c r="K19" s="1" t="s">
        <v>39</v>
      </c>
      <c r="L19" s="1" t="s">
        <v>62</v>
      </c>
      <c r="M19" s="4">
        <v>453</v>
      </c>
      <c r="N19">
        <v>16</v>
      </c>
      <c r="O19" s="21">
        <v>47.679699999999997</v>
      </c>
      <c r="P19" s="1" t="s">
        <v>46</v>
      </c>
      <c r="Q19" s="3">
        <v>0.102020754918176</v>
      </c>
      <c r="R19" s="22">
        <f>Glow[[#This Row],[Defect rates]]/100</f>
        <v>1.0202075491817599E-3</v>
      </c>
      <c r="S19" s="4">
        <v>9</v>
      </c>
      <c r="T19" s="1" t="s">
        <v>43</v>
      </c>
      <c r="U19" s="21">
        <v>3.5854189582323399</v>
      </c>
      <c r="V19" s="4">
        <v>7</v>
      </c>
      <c r="W19" s="1" t="s">
        <v>40</v>
      </c>
      <c r="X19" s="1" t="s">
        <v>41</v>
      </c>
      <c r="Y19" s="21">
        <v>670.93439999999998</v>
      </c>
    </row>
    <row r="20" spans="1:25" x14ac:dyDescent="0.35">
      <c r="A20" t="s">
        <v>24</v>
      </c>
      <c r="B20" s="1" t="s">
        <v>72</v>
      </c>
      <c r="C20" s="21">
        <v>36.443600000000004</v>
      </c>
      <c r="D20" s="4">
        <v>23</v>
      </c>
      <c r="E20" s="4">
        <v>620</v>
      </c>
      <c r="F20" s="21">
        <v>9364.6735000000008</v>
      </c>
      <c r="G20" s="1" t="s">
        <v>38</v>
      </c>
      <c r="H20" s="4">
        <v>10</v>
      </c>
      <c r="I20" s="4">
        <v>46</v>
      </c>
      <c r="J20">
        <v>10</v>
      </c>
      <c r="K20" s="1" t="s">
        <v>61</v>
      </c>
      <c r="L20" s="1" t="s">
        <v>45</v>
      </c>
      <c r="M20" s="4">
        <v>374</v>
      </c>
      <c r="N20">
        <v>17</v>
      </c>
      <c r="O20" s="21">
        <v>27.108000000000001</v>
      </c>
      <c r="P20" s="1" t="s">
        <v>30</v>
      </c>
      <c r="Q20" s="3">
        <v>2.2319391107292601</v>
      </c>
      <c r="R20" s="22">
        <f>Glow[[#This Row],[Defect rates]]/100</f>
        <v>2.2319391107292599E-2</v>
      </c>
      <c r="S20" s="4">
        <v>8</v>
      </c>
      <c r="T20" s="1" t="s">
        <v>43</v>
      </c>
      <c r="U20" s="21">
        <v>4.3392247141107001</v>
      </c>
      <c r="V20" s="4">
        <v>18</v>
      </c>
      <c r="W20" s="1" t="s">
        <v>56</v>
      </c>
      <c r="X20" s="1" t="s">
        <v>48</v>
      </c>
      <c r="Y20" s="21">
        <v>593.48030000000006</v>
      </c>
    </row>
    <row r="21" spans="1:25" x14ac:dyDescent="0.35">
      <c r="A21" t="s">
        <v>33</v>
      </c>
      <c r="B21" s="1" t="s">
        <v>73</v>
      </c>
      <c r="C21" s="21">
        <v>51.123899999999999</v>
      </c>
      <c r="D21" s="4">
        <v>100</v>
      </c>
      <c r="E21" s="4">
        <v>187</v>
      </c>
      <c r="F21" s="21">
        <v>2553.4956000000002</v>
      </c>
      <c r="G21" s="1" t="s">
        <v>38</v>
      </c>
      <c r="H21" s="4">
        <v>48</v>
      </c>
      <c r="I21" s="4">
        <v>94</v>
      </c>
      <c r="J21">
        <v>11</v>
      </c>
      <c r="K21" s="1" t="s">
        <v>52</v>
      </c>
      <c r="L21" s="1" t="s">
        <v>62</v>
      </c>
      <c r="M21" s="4">
        <v>694</v>
      </c>
      <c r="N21">
        <v>16</v>
      </c>
      <c r="O21" s="21">
        <v>82.3733</v>
      </c>
      <c r="P21" s="1" t="s">
        <v>46</v>
      </c>
      <c r="Q21" s="3">
        <v>3.64645086541702</v>
      </c>
      <c r="R21" s="22">
        <f>Glow[[#This Row],[Defect rates]]/100</f>
        <v>3.6464508654170197E-2</v>
      </c>
      <c r="S21" s="4">
        <v>3</v>
      </c>
      <c r="T21" s="1" t="s">
        <v>36</v>
      </c>
      <c r="U21" s="21">
        <v>4.7426358828418698</v>
      </c>
      <c r="V21" s="4">
        <v>20</v>
      </c>
      <c r="W21" s="1" t="s">
        <v>31</v>
      </c>
      <c r="X21" s="1" t="s">
        <v>41</v>
      </c>
      <c r="Y21" s="21">
        <v>477.30759999999998</v>
      </c>
    </row>
    <row r="22" spans="1:25" x14ac:dyDescent="0.35">
      <c r="A22" t="s">
        <v>33</v>
      </c>
      <c r="B22" s="1" t="s">
        <v>74</v>
      </c>
      <c r="C22" s="21">
        <v>96.341099999999997</v>
      </c>
      <c r="D22" s="4">
        <v>22</v>
      </c>
      <c r="E22" s="4">
        <v>320</v>
      </c>
      <c r="F22" s="21">
        <v>8128.0276999999996</v>
      </c>
      <c r="G22" s="1" t="s">
        <v>38</v>
      </c>
      <c r="H22" s="4">
        <v>27</v>
      </c>
      <c r="I22" s="4">
        <v>68</v>
      </c>
      <c r="J22">
        <v>12</v>
      </c>
      <c r="K22" s="1" t="s">
        <v>39</v>
      </c>
      <c r="L22" s="1" t="s">
        <v>62</v>
      </c>
      <c r="M22" s="4">
        <v>309</v>
      </c>
      <c r="N22">
        <v>6</v>
      </c>
      <c r="O22" s="21">
        <v>65.686300000000003</v>
      </c>
      <c r="P22" s="1" t="s">
        <v>64</v>
      </c>
      <c r="Q22" s="3">
        <v>4.2314165735345304</v>
      </c>
      <c r="R22" s="22">
        <f>Glow[[#This Row],[Defect rates]]/100</f>
        <v>4.2314165735345306E-2</v>
      </c>
      <c r="S22" s="4">
        <v>6</v>
      </c>
      <c r="T22" s="1" t="s">
        <v>36</v>
      </c>
      <c r="U22" s="21">
        <v>8.8783346509268402</v>
      </c>
      <c r="V22" s="4">
        <v>29</v>
      </c>
      <c r="W22" s="1" t="s">
        <v>40</v>
      </c>
      <c r="X22" s="1" t="s">
        <v>32</v>
      </c>
      <c r="Y22" s="21">
        <v>493.87119999999999</v>
      </c>
    </row>
    <row r="23" spans="1:25" x14ac:dyDescent="0.35">
      <c r="A23" t="s">
        <v>57</v>
      </c>
      <c r="B23" s="1" t="s">
        <v>75</v>
      </c>
      <c r="C23" s="21">
        <v>84.893900000000002</v>
      </c>
      <c r="D23" s="4">
        <v>60</v>
      </c>
      <c r="E23" s="4">
        <v>601</v>
      </c>
      <c r="F23" s="21">
        <v>7087.0527000000002</v>
      </c>
      <c r="G23" s="1" t="s">
        <v>38</v>
      </c>
      <c r="H23" s="4">
        <v>69</v>
      </c>
      <c r="I23" s="4">
        <v>7</v>
      </c>
      <c r="J23">
        <v>25</v>
      </c>
      <c r="K23" s="1" t="s">
        <v>44</v>
      </c>
      <c r="L23" s="1" t="s">
        <v>62</v>
      </c>
      <c r="M23" s="4">
        <v>791</v>
      </c>
      <c r="N23">
        <v>4</v>
      </c>
      <c r="O23" s="21">
        <v>61.735700000000001</v>
      </c>
      <c r="P23" s="1" t="s">
        <v>30</v>
      </c>
      <c r="Q23" s="3">
        <v>1.8607567631014899E-2</v>
      </c>
      <c r="R23" s="22">
        <f>Glow[[#This Row],[Defect rates]]/100</f>
        <v>1.8607567631014898E-4</v>
      </c>
      <c r="S23" s="4">
        <v>6</v>
      </c>
      <c r="T23" s="1" t="s">
        <v>27</v>
      </c>
      <c r="U23" s="21">
        <v>6.0378837692182898</v>
      </c>
      <c r="V23" s="4">
        <v>19</v>
      </c>
      <c r="W23" s="1" t="s">
        <v>40</v>
      </c>
      <c r="X23" s="1" t="s">
        <v>41</v>
      </c>
      <c r="Y23" s="21">
        <v>523.36090000000002</v>
      </c>
    </row>
    <row r="24" spans="1:25" x14ac:dyDescent="0.35">
      <c r="A24" t="s">
        <v>24</v>
      </c>
      <c r="B24" s="1" t="s">
        <v>76</v>
      </c>
      <c r="C24" s="21">
        <v>27.6798</v>
      </c>
      <c r="D24" s="4">
        <v>55</v>
      </c>
      <c r="E24" s="4">
        <v>884</v>
      </c>
      <c r="F24" s="21">
        <v>2390.8078999999998</v>
      </c>
      <c r="G24" s="1" t="s">
        <v>38</v>
      </c>
      <c r="H24" s="4">
        <v>71</v>
      </c>
      <c r="I24" s="4">
        <v>63</v>
      </c>
      <c r="J24">
        <v>1</v>
      </c>
      <c r="K24" s="1" t="s">
        <v>52</v>
      </c>
      <c r="L24" s="1" t="s">
        <v>45</v>
      </c>
      <c r="M24" s="4">
        <v>780</v>
      </c>
      <c r="N24">
        <v>28</v>
      </c>
      <c r="O24" s="21">
        <v>50.120800000000003</v>
      </c>
      <c r="P24" s="1" t="s">
        <v>46</v>
      </c>
      <c r="Q24" s="3">
        <v>2.5912754732111098</v>
      </c>
      <c r="R24" s="22">
        <f>Glow[[#This Row],[Defect rates]]/100</f>
        <v>2.5912754732111097E-2</v>
      </c>
      <c r="S24" s="4">
        <v>10</v>
      </c>
      <c r="T24" s="1" t="s">
        <v>36</v>
      </c>
      <c r="U24" s="21">
        <v>9.5676489209230393</v>
      </c>
      <c r="V24" s="4">
        <v>22</v>
      </c>
      <c r="W24" s="1" t="s">
        <v>47</v>
      </c>
      <c r="X24" s="1" t="s">
        <v>41</v>
      </c>
      <c r="Y24" s="21">
        <v>205.572</v>
      </c>
    </row>
    <row r="25" spans="1:25" x14ac:dyDescent="0.35">
      <c r="A25" t="s">
        <v>57</v>
      </c>
      <c r="B25" s="1" t="s">
        <v>77</v>
      </c>
      <c r="C25" s="21">
        <v>4.3243</v>
      </c>
      <c r="D25" s="4">
        <v>30</v>
      </c>
      <c r="E25" s="4">
        <v>391</v>
      </c>
      <c r="F25" s="21">
        <v>8858.3675999999996</v>
      </c>
      <c r="G25" s="1" t="s">
        <v>38</v>
      </c>
      <c r="H25" s="4">
        <v>84</v>
      </c>
      <c r="I25" s="4">
        <v>29</v>
      </c>
      <c r="J25">
        <v>5</v>
      </c>
      <c r="K25" s="1" t="s">
        <v>44</v>
      </c>
      <c r="L25" s="1" t="s">
        <v>45</v>
      </c>
      <c r="M25" s="4">
        <v>568</v>
      </c>
      <c r="N25">
        <v>29</v>
      </c>
      <c r="O25" s="21">
        <v>98.61</v>
      </c>
      <c r="P25" s="1" t="s">
        <v>30</v>
      </c>
      <c r="Q25" s="3">
        <v>1.3422915627227301</v>
      </c>
      <c r="R25" s="22">
        <f>Glow[[#This Row],[Defect rates]]/100</f>
        <v>1.34229156272273E-2</v>
      </c>
      <c r="S25" s="4">
        <v>7</v>
      </c>
      <c r="T25" s="1" t="s">
        <v>36</v>
      </c>
      <c r="U25" s="21">
        <v>2.92485760114555</v>
      </c>
      <c r="V25" s="4">
        <v>11</v>
      </c>
      <c r="W25" s="1" t="s">
        <v>47</v>
      </c>
      <c r="X25" s="1" t="s">
        <v>48</v>
      </c>
      <c r="Y25" s="21">
        <v>196.32939999999999</v>
      </c>
    </row>
    <row r="26" spans="1:25" x14ac:dyDescent="0.35">
      <c r="A26" t="s">
        <v>24</v>
      </c>
      <c r="B26" s="1" t="s">
        <v>78</v>
      </c>
      <c r="C26" s="21">
        <v>4.1562999999999999</v>
      </c>
      <c r="D26" s="4">
        <v>32</v>
      </c>
      <c r="E26" s="4">
        <v>209</v>
      </c>
      <c r="F26" s="21">
        <v>9049.0779000000002</v>
      </c>
      <c r="G26" s="1" t="s">
        <v>55</v>
      </c>
      <c r="H26" s="4">
        <v>4</v>
      </c>
      <c r="I26" s="4">
        <v>2</v>
      </c>
      <c r="J26">
        <v>26</v>
      </c>
      <c r="K26" s="1" t="s">
        <v>61</v>
      </c>
      <c r="L26" s="1" t="s">
        <v>53</v>
      </c>
      <c r="M26" s="4">
        <v>447</v>
      </c>
      <c r="N26">
        <v>3</v>
      </c>
      <c r="O26" s="21">
        <v>40.382399999999997</v>
      </c>
      <c r="P26" s="1" t="s">
        <v>30</v>
      </c>
      <c r="Q26" s="3">
        <v>3.69131029262872</v>
      </c>
      <c r="R26" s="22">
        <f>Glow[[#This Row],[Defect rates]]/100</f>
        <v>3.6913102926287203E-2</v>
      </c>
      <c r="S26" s="4">
        <v>8</v>
      </c>
      <c r="T26" s="1" t="s">
        <v>43</v>
      </c>
      <c r="U26" s="21">
        <v>9.7412916892843597</v>
      </c>
      <c r="V26" s="4">
        <v>28</v>
      </c>
      <c r="W26" s="1" t="s">
        <v>40</v>
      </c>
      <c r="X26" s="1" t="s">
        <v>48</v>
      </c>
      <c r="Y26" s="21">
        <v>758.72479999999996</v>
      </c>
    </row>
    <row r="27" spans="1:25" x14ac:dyDescent="0.35">
      <c r="A27" t="s">
        <v>24</v>
      </c>
      <c r="B27" s="1" t="s">
        <v>79</v>
      </c>
      <c r="C27" s="21">
        <v>39.629300000000001</v>
      </c>
      <c r="D27" s="4">
        <v>73</v>
      </c>
      <c r="E27" s="4">
        <v>142</v>
      </c>
      <c r="F27" s="21">
        <v>2174.7770999999998</v>
      </c>
      <c r="G27" s="1" t="s">
        <v>55</v>
      </c>
      <c r="H27" s="4">
        <v>82</v>
      </c>
      <c r="I27" s="4">
        <v>52</v>
      </c>
      <c r="J27">
        <v>11</v>
      </c>
      <c r="K27" s="1" t="s">
        <v>52</v>
      </c>
      <c r="L27" s="1" t="s">
        <v>45</v>
      </c>
      <c r="M27" s="4">
        <v>934</v>
      </c>
      <c r="N27">
        <v>23</v>
      </c>
      <c r="O27" s="21">
        <v>78.2804</v>
      </c>
      <c r="P27" s="1" t="s">
        <v>30</v>
      </c>
      <c r="Q27" s="3">
        <v>3.79723121711418</v>
      </c>
      <c r="R27" s="22">
        <f>Glow[[#This Row],[Defect rates]]/100</f>
        <v>3.7972312171141803E-2</v>
      </c>
      <c r="S27" s="4">
        <v>3</v>
      </c>
      <c r="T27" s="1" t="s">
        <v>43</v>
      </c>
      <c r="U27" s="21">
        <v>2.2310736812817198</v>
      </c>
      <c r="V27" s="4">
        <v>19</v>
      </c>
      <c r="W27" s="1" t="s">
        <v>31</v>
      </c>
      <c r="X27" s="1" t="s">
        <v>32</v>
      </c>
      <c r="Y27" s="21">
        <v>458.53590000000003</v>
      </c>
    </row>
    <row r="28" spans="1:25" x14ac:dyDescent="0.35">
      <c r="A28" t="s">
        <v>24</v>
      </c>
      <c r="B28" s="1" t="s">
        <v>80</v>
      </c>
      <c r="C28" s="21">
        <v>97.446899999999999</v>
      </c>
      <c r="D28" s="4">
        <v>9</v>
      </c>
      <c r="E28" s="4">
        <v>353</v>
      </c>
      <c r="F28" s="21">
        <v>3716.4933000000001</v>
      </c>
      <c r="G28" s="1" t="s">
        <v>55</v>
      </c>
      <c r="H28" s="4">
        <v>59</v>
      </c>
      <c r="I28" s="4">
        <v>48</v>
      </c>
      <c r="J28">
        <v>16</v>
      </c>
      <c r="K28" s="1" t="s">
        <v>61</v>
      </c>
      <c r="L28" s="1" t="s">
        <v>53</v>
      </c>
      <c r="M28" s="4">
        <v>171</v>
      </c>
      <c r="N28">
        <v>4</v>
      </c>
      <c r="O28" s="21">
        <v>15.972200000000001</v>
      </c>
      <c r="P28" s="1" t="s">
        <v>64</v>
      </c>
      <c r="Q28" s="3">
        <v>2.1193197367249201</v>
      </c>
      <c r="R28" s="22">
        <f>Glow[[#This Row],[Defect rates]]/100</f>
        <v>2.11931973672492E-2</v>
      </c>
      <c r="S28" s="4">
        <v>4</v>
      </c>
      <c r="T28" s="1" t="s">
        <v>27</v>
      </c>
      <c r="U28" s="21">
        <v>6.5075486210785503</v>
      </c>
      <c r="V28" s="4">
        <v>26</v>
      </c>
      <c r="W28" s="1" t="s">
        <v>47</v>
      </c>
      <c r="X28" s="1" t="s">
        <v>48</v>
      </c>
      <c r="Y28" s="21">
        <v>617.86689999999999</v>
      </c>
    </row>
    <row r="29" spans="1:25" x14ac:dyDescent="0.35">
      <c r="A29" t="s">
        <v>57</v>
      </c>
      <c r="B29" s="1" t="s">
        <v>81</v>
      </c>
      <c r="C29" s="21">
        <v>92.557400000000001</v>
      </c>
      <c r="D29" s="4">
        <v>42</v>
      </c>
      <c r="E29" s="4">
        <v>352</v>
      </c>
      <c r="F29" s="21">
        <v>2686.4571999999998</v>
      </c>
      <c r="G29" s="1" t="s">
        <v>38</v>
      </c>
      <c r="H29" s="4">
        <v>47</v>
      </c>
      <c r="I29" s="4">
        <v>62</v>
      </c>
      <c r="J29">
        <v>9</v>
      </c>
      <c r="K29" s="1" t="s">
        <v>44</v>
      </c>
      <c r="L29" s="1" t="s">
        <v>29</v>
      </c>
      <c r="M29" s="4">
        <v>291</v>
      </c>
      <c r="N29">
        <v>4</v>
      </c>
      <c r="O29" s="21">
        <v>10.5282</v>
      </c>
      <c r="P29" s="1" t="s">
        <v>46</v>
      </c>
      <c r="Q29" s="3">
        <v>2.8646678378833701</v>
      </c>
      <c r="R29" s="22">
        <f>Glow[[#This Row],[Defect rates]]/100</f>
        <v>2.8646678378833702E-2</v>
      </c>
      <c r="S29" s="4">
        <v>8</v>
      </c>
      <c r="T29" s="1" t="s">
        <v>43</v>
      </c>
      <c r="U29" s="21">
        <v>7.4067509529980704</v>
      </c>
      <c r="V29" s="4">
        <v>25</v>
      </c>
      <c r="W29" s="1" t="s">
        <v>56</v>
      </c>
      <c r="X29" s="1" t="s">
        <v>32</v>
      </c>
      <c r="Y29" s="21">
        <v>762.45920000000001</v>
      </c>
    </row>
    <row r="30" spans="1:25" x14ac:dyDescent="0.35">
      <c r="A30" t="s">
        <v>57</v>
      </c>
      <c r="B30" s="1" t="s">
        <v>82</v>
      </c>
      <c r="C30" s="21">
        <v>2.3973</v>
      </c>
      <c r="D30" s="4">
        <v>12</v>
      </c>
      <c r="E30" s="4">
        <v>394</v>
      </c>
      <c r="F30" s="21">
        <v>6117.3245999999999</v>
      </c>
      <c r="G30" s="1" t="s">
        <v>35</v>
      </c>
      <c r="H30" s="4">
        <v>48</v>
      </c>
      <c r="I30" s="4">
        <v>24</v>
      </c>
      <c r="J30">
        <v>15</v>
      </c>
      <c r="K30" s="1" t="s">
        <v>39</v>
      </c>
      <c r="L30" s="1" t="s">
        <v>29</v>
      </c>
      <c r="M30" s="4">
        <v>171</v>
      </c>
      <c r="N30">
        <v>7</v>
      </c>
      <c r="O30" s="21">
        <v>59.429400000000001</v>
      </c>
      <c r="P30" s="1" t="s">
        <v>46</v>
      </c>
      <c r="Q30" s="3">
        <v>0.81575707929567198</v>
      </c>
      <c r="R30" s="22">
        <f>Glow[[#This Row],[Defect rates]]/100</f>
        <v>8.1575707929567205E-3</v>
      </c>
      <c r="S30" s="4">
        <v>4</v>
      </c>
      <c r="T30" s="1" t="s">
        <v>27</v>
      </c>
      <c r="U30" s="21">
        <v>9.8981405080692202</v>
      </c>
      <c r="V30" s="4">
        <v>13</v>
      </c>
      <c r="W30" s="1" t="s">
        <v>40</v>
      </c>
      <c r="X30" s="1" t="s">
        <v>48</v>
      </c>
      <c r="Y30" s="21">
        <v>123.437</v>
      </c>
    </row>
    <row r="31" spans="1:25" x14ac:dyDescent="0.35">
      <c r="A31" t="s">
        <v>57</v>
      </c>
      <c r="B31" s="1" t="s">
        <v>83</v>
      </c>
      <c r="C31" s="21">
        <v>63.447600000000001</v>
      </c>
      <c r="D31" s="4">
        <v>3</v>
      </c>
      <c r="E31" s="4">
        <v>253</v>
      </c>
      <c r="F31" s="21">
        <v>8318.9032000000007</v>
      </c>
      <c r="G31" s="1" t="s">
        <v>35</v>
      </c>
      <c r="H31" s="4">
        <v>45</v>
      </c>
      <c r="I31" s="4">
        <v>67</v>
      </c>
      <c r="J31">
        <v>5</v>
      </c>
      <c r="K31" s="1" t="s">
        <v>39</v>
      </c>
      <c r="L31" s="1" t="s">
        <v>45</v>
      </c>
      <c r="M31" s="4">
        <v>329</v>
      </c>
      <c r="N31">
        <v>7</v>
      </c>
      <c r="O31" s="21">
        <v>39.292900000000003</v>
      </c>
      <c r="P31" s="1" t="s">
        <v>64</v>
      </c>
      <c r="Q31" s="3">
        <v>3.8780989365884802</v>
      </c>
      <c r="R31" s="22">
        <f>Glow[[#This Row],[Defect rates]]/100</f>
        <v>3.8780989365884803E-2</v>
      </c>
      <c r="S31" s="4">
        <v>7</v>
      </c>
      <c r="T31" s="1" t="s">
        <v>27</v>
      </c>
      <c r="U31" s="21">
        <v>8.1009731453970293</v>
      </c>
      <c r="V31" s="4">
        <v>16</v>
      </c>
      <c r="W31" s="1" t="s">
        <v>31</v>
      </c>
      <c r="X31" s="1" t="s">
        <v>32</v>
      </c>
      <c r="Y31" s="21">
        <v>764.93539999999996</v>
      </c>
    </row>
    <row r="32" spans="1:25" x14ac:dyDescent="0.35">
      <c r="A32" t="s">
        <v>24</v>
      </c>
      <c r="B32" s="1" t="s">
        <v>84</v>
      </c>
      <c r="C32" s="21">
        <v>8.0228999999999999</v>
      </c>
      <c r="D32" s="4">
        <v>10</v>
      </c>
      <c r="E32" s="4">
        <v>327</v>
      </c>
      <c r="F32" s="21">
        <v>2766.3424</v>
      </c>
      <c r="G32" s="1" t="s">
        <v>55</v>
      </c>
      <c r="H32" s="4">
        <v>60</v>
      </c>
      <c r="I32" s="4">
        <v>35</v>
      </c>
      <c r="J32">
        <v>26</v>
      </c>
      <c r="K32" s="1" t="s">
        <v>52</v>
      </c>
      <c r="L32" s="1" t="s">
        <v>45</v>
      </c>
      <c r="M32" s="4">
        <v>806</v>
      </c>
      <c r="N32">
        <v>30</v>
      </c>
      <c r="O32" s="21">
        <v>51.634900000000002</v>
      </c>
      <c r="P32" s="1" t="s">
        <v>30</v>
      </c>
      <c r="Q32" s="3">
        <v>0.96539470535239302</v>
      </c>
      <c r="R32" s="22">
        <f>Glow[[#This Row],[Defect rates]]/100</f>
        <v>9.6539470535239296E-3</v>
      </c>
      <c r="S32" s="4">
        <v>7</v>
      </c>
      <c r="T32" s="1" t="s">
        <v>27</v>
      </c>
      <c r="U32" s="21">
        <v>8.9545283153180097</v>
      </c>
      <c r="V32" s="4">
        <v>27</v>
      </c>
      <c r="W32" s="1" t="s">
        <v>31</v>
      </c>
      <c r="X32" s="1" t="s">
        <v>41</v>
      </c>
      <c r="Y32" s="21">
        <v>880.08100000000002</v>
      </c>
    </row>
    <row r="33" spans="1:25" x14ac:dyDescent="0.35">
      <c r="A33" t="s">
        <v>33</v>
      </c>
      <c r="B33" s="1" t="s">
        <v>85</v>
      </c>
      <c r="C33" s="21">
        <v>50.8474</v>
      </c>
      <c r="D33" s="4">
        <v>28</v>
      </c>
      <c r="E33" s="4">
        <v>168</v>
      </c>
      <c r="F33" s="21">
        <v>9655.1350999999995</v>
      </c>
      <c r="G33" s="1" t="s">
        <v>55</v>
      </c>
      <c r="H33" s="4">
        <v>6</v>
      </c>
      <c r="I33" s="4">
        <v>44</v>
      </c>
      <c r="J33">
        <v>17</v>
      </c>
      <c r="K33" s="1" t="s">
        <v>28</v>
      </c>
      <c r="L33" s="1" t="s">
        <v>62</v>
      </c>
      <c r="M33" s="4">
        <v>461</v>
      </c>
      <c r="N33">
        <v>8</v>
      </c>
      <c r="O33" s="21">
        <v>60.251100000000001</v>
      </c>
      <c r="P33" s="1" t="s">
        <v>30</v>
      </c>
      <c r="Q33" s="3">
        <v>2.9890000066550702</v>
      </c>
      <c r="R33" s="22">
        <f>Glow[[#This Row],[Defect rates]]/100</f>
        <v>2.9890000066550702E-2</v>
      </c>
      <c r="S33" s="4">
        <v>4</v>
      </c>
      <c r="T33" s="1" t="s">
        <v>27</v>
      </c>
      <c r="U33" s="21">
        <v>2.6796609649813998</v>
      </c>
      <c r="V33" s="4">
        <v>24</v>
      </c>
      <c r="W33" s="1" t="s">
        <v>47</v>
      </c>
      <c r="X33" s="1" t="s">
        <v>41</v>
      </c>
      <c r="Y33" s="21">
        <v>609.37919999999997</v>
      </c>
    </row>
    <row r="34" spans="1:25" x14ac:dyDescent="0.35">
      <c r="A34" t="s">
        <v>33</v>
      </c>
      <c r="B34" s="1" t="s">
        <v>86</v>
      </c>
      <c r="C34" s="21">
        <v>79.209900000000005</v>
      </c>
      <c r="D34" s="4">
        <v>43</v>
      </c>
      <c r="E34" s="4">
        <v>781</v>
      </c>
      <c r="F34" s="21">
        <v>9571.5504999999994</v>
      </c>
      <c r="G34" s="1" t="s">
        <v>38</v>
      </c>
      <c r="H34" s="4">
        <v>89</v>
      </c>
      <c r="I34" s="4">
        <v>64</v>
      </c>
      <c r="J34">
        <v>13</v>
      </c>
      <c r="K34" s="1" t="s">
        <v>28</v>
      </c>
      <c r="L34" s="1" t="s">
        <v>45</v>
      </c>
      <c r="M34" s="4">
        <v>737</v>
      </c>
      <c r="N34">
        <v>7</v>
      </c>
      <c r="O34" s="21">
        <v>29.692499999999999</v>
      </c>
      <c r="P34" s="1" t="s">
        <v>64</v>
      </c>
      <c r="Q34" s="3">
        <v>1.94603611938611</v>
      </c>
      <c r="R34" s="22">
        <f>Glow[[#This Row],[Defect rates]]/100</f>
        <v>1.94603611938611E-2</v>
      </c>
      <c r="S34" s="4">
        <v>4</v>
      </c>
      <c r="T34" s="1" t="s">
        <v>43</v>
      </c>
      <c r="U34" s="21">
        <v>6.5991049012385803</v>
      </c>
      <c r="V34" s="4">
        <v>30</v>
      </c>
      <c r="W34" s="1" t="s">
        <v>31</v>
      </c>
      <c r="X34" s="1" t="s">
        <v>48</v>
      </c>
      <c r="Y34" s="21">
        <v>761.1739</v>
      </c>
    </row>
    <row r="35" spans="1:25" x14ac:dyDescent="0.35">
      <c r="A35" t="s">
        <v>57</v>
      </c>
      <c r="B35" s="1" t="s">
        <v>87</v>
      </c>
      <c r="C35" s="21">
        <v>64.795400000000001</v>
      </c>
      <c r="D35" s="4">
        <v>63</v>
      </c>
      <c r="E35" s="4">
        <v>616</v>
      </c>
      <c r="F35" s="21">
        <v>5149.9984000000004</v>
      </c>
      <c r="G35" s="1" t="s">
        <v>26</v>
      </c>
      <c r="H35" s="4">
        <v>4</v>
      </c>
      <c r="I35" s="4">
        <v>95</v>
      </c>
      <c r="J35">
        <v>17</v>
      </c>
      <c r="K35" s="1" t="s">
        <v>44</v>
      </c>
      <c r="L35" s="1" t="s">
        <v>62</v>
      </c>
      <c r="M35" s="4">
        <v>251</v>
      </c>
      <c r="N35">
        <v>23</v>
      </c>
      <c r="O35" s="21">
        <v>23.853400000000001</v>
      </c>
      <c r="P35" s="1" t="s">
        <v>46</v>
      </c>
      <c r="Q35" s="3">
        <v>3.54104601225092</v>
      </c>
      <c r="R35" s="22">
        <f>Glow[[#This Row],[Defect rates]]/100</f>
        <v>3.5410460122509202E-2</v>
      </c>
      <c r="S35" s="4">
        <v>9</v>
      </c>
      <c r="T35" s="1" t="s">
        <v>43</v>
      </c>
      <c r="U35" s="21">
        <v>4.85827050343664</v>
      </c>
      <c r="V35" s="4">
        <v>1</v>
      </c>
      <c r="W35" s="1" t="s">
        <v>56</v>
      </c>
      <c r="X35" s="1" t="s">
        <v>48</v>
      </c>
      <c r="Y35" s="21">
        <v>371.25529999999998</v>
      </c>
    </row>
    <row r="36" spans="1:25" x14ac:dyDescent="0.35">
      <c r="A36" t="s">
        <v>33</v>
      </c>
      <c r="B36" s="1" t="s">
        <v>88</v>
      </c>
      <c r="C36" s="21">
        <v>37.467599999999997</v>
      </c>
      <c r="D36" s="4">
        <v>96</v>
      </c>
      <c r="E36" s="4">
        <v>602</v>
      </c>
      <c r="F36" s="21">
        <v>9061.7109</v>
      </c>
      <c r="G36" s="1" t="s">
        <v>38</v>
      </c>
      <c r="H36" s="4">
        <v>1</v>
      </c>
      <c r="I36" s="4">
        <v>21</v>
      </c>
      <c r="J36">
        <v>26</v>
      </c>
      <c r="K36" s="1" t="s">
        <v>39</v>
      </c>
      <c r="L36" s="1" t="s">
        <v>62</v>
      </c>
      <c r="M36" s="4">
        <v>452</v>
      </c>
      <c r="N36">
        <v>10</v>
      </c>
      <c r="O36" s="21">
        <v>10.754300000000001</v>
      </c>
      <c r="P36" s="1" t="s">
        <v>64</v>
      </c>
      <c r="Q36" s="3">
        <v>0.64660455937205397</v>
      </c>
      <c r="R36" s="22">
        <f>Glow[[#This Row],[Defect rates]]/100</f>
        <v>6.4660455937205399E-3</v>
      </c>
      <c r="S36" s="4">
        <v>7</v>
      </c>
      <c r="T36" s="1" t="s">
        <v>36</v>
      </c>
      <c r="U36" s="21">
        <v>1.0194875708221101</v>
      </c>
      <c r="V36" s="4">
        <v>4</v>
      </c>
      <c r="W36" s="1" t="s">
        <v>31</v>
      </c>
      <c r="X36" s="1" t="s">
        <v>32</v>
      </c>
      <c r="Y36" s="21">
        <v>510.358</v>
      </c>
    </row>
    <row r="37" spans="1:25" x14ac:dyDescent="0.35">
      <c r="A37" t="s">
        <v>57</v>
      </c>
      <c r="B37" s="1" t="s">
        <v>89</v>
      </c>
      <c r="C37" s="21">
        <v>84.957800000000006</v>
      </c>
      <c r="D37" s="4">
        <v>11</v>
      </c>
      <c r="E37" s="4">
        <v>449</v>
      </c>
      <c r="F37" s="21">
        <v>6541.3293000000003</v>
      </c>
      <c r="G37" s="1" t="s">
        <v>35</v>
      </c>
      <c r="H37" s="4">
        <v>42</v>
      </c>
      <c r="I37" s="4">
        <v>85</v>
      </c>
      <c r="J37">
        <v>27</v>
      </c>
      <c r="K37" s="1" t="s">
        <v>39</v>
      </c>
      <c r="L37" s="1" t="s">
        <v>50</v>
      </c>
      <c r="M37" s="4">
        <v>367</v>
      </c>
      <c r="N37">
        <v>2</v>
      </c>
      <c r="O37" s="21">
        <v>58.004800000000003</v>
      </c>
      <c r="P37" s="1" t="s">
        <v>64</v>
      </c>
      <c r="Q37" s="3">
        <v>0.54115409806058101</v>
      </c>
      <c r="R37" s="22">
        <f>Glow[[#This Row],[Defect rates]]/100</f>
        <v>5.4115409806058104E-3</v>
      </c>
      <c r="S37" s="4">
        <v>8</v>
      </c>
      <c r="T37" s="1" t="s">
        <v>43</v>
      </c>
      <c r="U37" s="21">
        <v>5.2881899903273997</v>
      </c>
      <c r="V37" s="4">
        <v>3</v>
      </c>
      <c r="W37" s="1" t="s">
        <v>56</v>
      </c>
      <c r="X37" s="1" t="s">
        <v>41</v>
      </c>
      <c r="Y37" s="21">
        <v>553.42049999999995</v>
      </c>
    </row>
    <row r="38" spans="1:25" x14ac:dyDescent="0.35">
      <c r="A38" t="s">
        <v>33</v>
      </c>
      <c r="B38" s="1" t="s">
        <v>90</v>
      </c>
      <c r="C38" s="21">
        <v>9.8130000000000006</v>
      </c>
      <c r="D38" s="4">
        <v>34</v>
      </c>
      <c r="E38" s="4">
        <v>963</v>
      </c>
      <c r="F38" s="21">
        <v>7573.4025000000001</v>
      </c>
      <c r="G38" s="1" t="s">
        <v>35</v>
      </c>
      <c r="H38" s="4">
        <v>18</v>
      </c>
      <c r="I38" s="4">
        <v>28</v>
      </c>
      <c r="J38">
        <v>23</v>
      </c>
      <c r="K38" s="1" t="s">
        <v>61</v>
      </c>
      <c r="L38" s="1" t="s">
        <v>50</v>
      </c>
      <c r="M38" s="4">
        <v>671</v>
      </c>
      <c r="N38">
        <v>19</v>
      </c>
      <c r="O38" s="21">
        <v>45.531399999999998</v>
      </c>
      <c r="P38" s="1" t="s">
        <v>46</v>
      </c>
      <c r="Q38" s="3">
        <v>3.8055333792433501</v>
      </c>
      <c r="R38" s="22">
        <f>Glow[[#This Row],[Defect rates]]/100</f>
        <v>3.8055333792433504E-2</v>
      </c>
      <c r="S38" s="4">
        <v>3</v>
      </c>
      <c r="T38" s="1" t="s">
        <v>27</v>
      </c>
      <c r="U38" s="21">
        <v>2.1079512671590801</v>
      </c>
      <c r="V38" s="4">
        <v>26</v>
      </c>
      <c r="W38" s="1" t="s">
        <v>40</v>
      </c>
      <c r="X38" s="1" t="s">
        <v>41</v>
      </c>
      <c r="Y38" s="21">
        <v>403.80900000000003</v>
      </c>
    </row>
    <row r="39" spans="1:25" x14ac:dyDescent="0.35">
      <c r="A39" t="s">
        <v>33</v>
      </c>
      <c r="B39" s="1" t="s">
        <v>91</v>
      </c>
      <c r="C39" s="21">
        <v>23.399799999999999</v>
      </c>
      <c r="D39" s="4">
        <v>5</v>
      </c>
      <c r="E39" s="4">
        <v>963</v>
      </c>
      <c r="F39" s="21">
        <v>2438.3398999999999</v>
      </c>
      <c r="G39" s="1" t="s">
        <v>35</v>
      </c>
      <c r="H39" s="4">
        <v>25</v>
      </c>
      <c r="I39" s="4">
        <v>21</v>
      </c>
      <c r="J39">
        <v>8</v>
      </c>
      <c r="K39" s="1" t="s">
        <v>28</v>
      </c>
      <c r="L39" s="1" t="s">
        <v>45</v>
      </c>
      <c r="M39" s="4">
        <v>867</v>
      </c>
      <c r="N39">
        <v>15</v>
      </c>
      <c r="O39" s="21">
        <v>34.343299999999999</v>
      </c>
      <c r="P39" s="1" t="s">
        <v>30</v>
      </c>
      <c r="Q39" s="3">
        <v>2.61028808484811</v>
      </c>
      <c r="R39" s="22">
        <f>Glow[[#This Row],[Defect rates]]/100</f>
        <v>2.61028808484811E-2</v>
      </c>
      <c r="S39" s="4">
        <v>9</v>
      </c>
      <c r="T39" s="1" t="s">
        <v>36</v>
      </c>
      <c r="U39" s="21">
        <v>1.53265527359043</v>
      </c>
      <c r="V39" s="4">
        <v>24</v>
      </c>
      <c r="W39" s="1" t="s">
        <v>56</v>
      </c>
      <c r="X39" s="1" t="s">
        <v>48</v>
      </c>
      <c r="Y39" s="21">
        <v>183.93299999999999</v>
      </c>
    </row>
    <row r="40" spans="1:25" x14ac:dyDescent="0.35">
      <c r="A40" t="s">
        <v>57</v>
      </c>
      <c r="B40" s="1" t="s">
        <v>92</v>
      </c>
      <c r="C40" s="21">
        <v>52.075899999999997</v>
      </c>
      <c r="D40" s="4">
        <v>75</v>
      </c>
      <c r="E40" s="4">
        <v>705</v>
      </c>
      <c r="F40" s="21">
        <v>9692.3179999999993</v>
      </c>
      <c r="G40" s="1" t="s">
        <v>26</v>
      </c>
      <c r="H40" s="4">
        <v>69</v>
      </c>
      <c r="I40" s="4">
        <v>88</v>
      </c>
      <c r="J40">
        <v>1</v>
      </c>
      <c r="K40" s="1" t="s">
        <v>44</v>
      </c>
      <c r="L40" s="1" t="s">
        <v>29</v>
      </c>
      <c r="M40" s="4">
        <v>841</v>
      </c>
      <c r="N40">
        <v>12</v>
      </c>
      <c r="O40" s="21">
        <v>5.9306999999999999</v>
      </c>
      <c r="P40" s="1" t="s">
        <v>30</v>
      </c>
      <c r="Q40" s="3">
        <v>0.613326899164507</v>
      </c>
      <c r="R40" s="22">
        <f>Glow[[#This Row],[Defect rates]]/100</f>
        <v>6.1332689916450698E-3</v>
      </c>
      <c r="S40" s="4">
        <v>5</v>
      </c>
      <c r="T40" s="1" t="s">
        <v>27</v>
      </c>
      <c r="U40" s="21">
        <v>9.2359314372492207</v>
      </c>
      <c r="V40" s="4">
        <v>10</v>
      </c>
      <c r="W40" s="1" t="s">
        <v>40</v>
      </c>
      <c r="X40" s="1" t="s">
        <v>32</v>
      </c>
      <c r="Y40" s="21">
        <v>339.67290000000003</v>
      </c>
    </row>
    <row r="41" spans="1:25" x14ac:dyDescent="0.35">
      <c r="A41" t="s">
        <v>33</v>
      </c>
      <c r="B41" s="1" t="s">
        <v>93</v>
      </c>
      <c r="C41" s="21">
        <v>19.127500000000001</v>
      </c>
      <c r="D41" s="4">
        <v>26</v>
      </c>
      <c r="E41" s="4">
        <v>176</v>
      </c>
      <c r="F41" s="21">
        <v>1912.4657</v>
      </c>
      <c r="G41" s="1" t="s">
        <v>35</v>
      </c>
      <c r="H41" s="4">
        <v>78</v>
      </c>
      <c r="I41" s="4">
        <v>34</v>
      </c>
      <c r="J41">
        <v>29</v>
      </c>
      <c r="K41" s="1" t="s">
        <v>61</v>
      </c>
      <c r="L41" s="1" t="s">
        <v>45</v>
      </c>
      <c r="M41" s="4">
        <v>791</v>
      </c>
      <c r="N41">
        <v>6</v>
      </c>
      <c r="O41" s="21">
        <v>9.0058000000000007</v>
      </c>
      <c r="P41" s="1" t="s">
        <v>46</v>
      </c>
      <c r="Q41" s="3">
        <v>1.4519722039968099</v>
      </c>
      <c r="R41" s="22">
        <f>Glow[[#This Row],[Defect rates]]/100</f>
        <v>1.4519722039968099E-2</v>
      </c>
      <c r="S41" s="4">
        <v>3</v>
      </c>
      <c r="T41" s="1" t="s">
        <v>36</v>
      </c>
      <c r="U41" s="21">
        <v>5.5625037788303802</v>
      </c>
      <c r="V41" s="4">
        <v>30</v>
      </c>
      <c r="W41" s="1" t="s">
        <v>40</v>
      </c>
      <c r="X41" s="1" t="s">
        <v>32</v>
      </c>
      <c r="Y41" s="21">
        <v>653.673</v>
      </c>
    </row>
    <row r="42" spans="1:25" x14ac:dyDescent="0.35">
      <c r="A42" t="s">
        <v>33</v>
      </c>
      <c r="B42" s="1" t="s">
        <v>94</v>
      </c>
      <c r="C42" s="21">
        <v>80.541399999999996</v>
      </c>
      <c r="D42" s="4">
        <v>97</v>
      </c>
      <c r="E42" s="4">
        <v>933</v>
      </c>
      <c r="F42" s="21">
        <v>5724.9593999999997</v>
      </c>
      <c r="G42" s="1" t="s">
        <v>35</v>
      </c>
      <c r="H42" s="4">
        <v>90</v>
      </c>
      <c r="I42" s="4">
        <v>39</v>
      </c>
      <c r="J42">
        <v>20</v>
      </c>
      <c r="K42" s="1" t="s">
        <v>39</v>
      </c>
      <c r="L42" s="1" t="s">
        <v>45</v>
      </c>
      <c r="M42" s="4">
        <v>793</v>
      </c>
      <c r="N42">
        <v>1</v>
      </c>
      <c r="O42" s="21">
        <v>88.179400000000001</v>
      </c>
      <c r="P42" s="1" t="s">
        <v>30</v>
      </c>
      <c r="Q42" s="3">
        <v>4.2132694305865597</v>
      </c>
      <c r="R42" s="22">
        <f>Glow[[#This Row],[Defect rates]]/100</f>
        <v>4.2132694305865595E-2</v>
      </c>
      <c r="S42" s="4">
        <v>8</v>
      </c>
      <c r="T42" s="1" t="s">
        <v>43</v>
      </c>
      <c r="U42" s="21">
        <v>7.2295951397364702</v>
      </c>
      <c r="V42" s="4">
        <v>18</v>
      </c>
      <c r="W42" s="1" t="s">
        <v>31</v>
      </c>
      <c r="X42" s="1" t="s">
        <v>48</v>
      </c>
      <c r="Y42" s="21">
        <v>529.80870000000004</v>
      </c>
    </row>
    <row r="43" spans="1:25" x14ac:dyDescent="0.35">
      <c r="A43" t="s">
        <v>33</v>
      </c>
      <c r="B43" s="1" t="s">
        <v>95</v>
      </c>
      <c r="C43" s="21">
        <v>99.113299999999995</v>
      </c>
      <c r="D43" s="4">
        <v>35</v>
      </c>
      <c r="E43" s="4">
        <v>556</v>
      </c>
      <c r="F43" s="21">
        <v>5521.2052999999996</v>
      </c>
      <c r="G43" s="1" t="s">
        <v>35</v>
      </c>
      <c r="H43" s="4">
        <v>64</v>
      </c>
      <c r="I43" s="4">
        <v>38</v>
      </c>
      <c r="J43">
        <v>19</v>
      </c>
      <c r="K43" s="1" t="s">
        <v>52</v>
      </c>
      <c r="L43" s="1" t="s">
        <v>62</v>
      </c>
      <c r="M43" s="4">
        <v>892</v>
      </c>
      <c r="N43">
        <v>7</v>
      </c>
      <c r="O43" s="21">
        <v>95.332099999999997</v>
      </c>
      <c r="P43" s="1" t="s">
        <v>46</v>
      </c>
      <c r="Q43" s="3">
        <v>4.5302262398259602E-2</v>
      </c>
      <c r="R43" s="22">
        <f>Glow[[#This Row],[Defect rates]]/100</f>
        <v>4.5302262398259604E-4</v>
      </c>
      <c r="S43" s="4">
        <v>8</v>
      </c>
      <c r="T43" s="1" t="s">
        <v>27</v>
      </c>
      <c r="U43" s="21">
        <v>5.7732637437666501</v>
      </c>
      <c r="V43" s="4">
        <v>18</v>
      </c>
      <c r="W43" s="1" t="s">
        <v>56</v>
      </c>
      <c r="X43" s="1" t="s">
        <v>48</v>
      </c>
      <c r="Y43" s="21">
        <v>275.52440000000001</v>
      </c>
    </row>
    <row r="44" spans="1:25" x14ac:dyDescent="0.35">
      <c r="A44" t="s">
        <v>33</v>
      </c>
      <c r="B44" s="1" t="s">
        <v>96</v>
      </c>
      <c r="C44" s="21">
        <v>46.529200000000003</v>
      </c>
      <c r="D44" s="4">
        <v>98</v>
      </c>
      <c r="E44" s="4">
        <v>155</v>
      </c>
      <c r="F44" s="21">
        <v>1839.6094000000001</v>
      </c>
      <c r="G44" s="1" t="s">
        <v>35</v>
      </c>
      <c r="H44" s="4">
        <v>22</v>
      </c>
      <c r="I44" s="4">
        <v>57</v>
      </c>
      <c r="J44">
        <v>27</v>
      </c>
      <c r="K44" s="1" t="s">
        <v>44</v>
      </c>
      <c r="L44" s="1" t="s">
        <v>53</v>
      </c>
      <c r="M44" s="4">
        <v>179</v>
      </c>
      <c r="N44">
        <v>7</v>
      </c>
      <c r="O44" s="21">
        <v>96.422799999999995</v>
      </c>
      <c r="P44" s="1" t="s">
        <v>46</v>
      </c>
      <c r="Q44" s="3">
        <v>4.9392552886209398</v>
      </c>
      <c r="R44" s="22">
        <f>Glow[[#This Row],[Defect rates]]/100</f>
        <v>4.9392552886209397E-2</v>
      </c>
      <c r="S44" s="4">
        <v>4</v>
      </c>
      <c r="T44" s="1" t="s">
        <v>43</v>
      </c>
      <c r="U44" s="21">
        <v>7.5262483268515004</v>
      </c>
      <c r="V44" s="4">
        <v>26</v>
      </c>
      <c r="W44" s="1" t="s">
        <v>31</v>
      </c>
      <c r="X44" s="1" t="s">
        <v>48</v>
      </c>
      <c r="Y44" s="21">
        <v>635.65710000000001</v>
      </c>
    </row>
    <row r="45" spans="1:25" x14ac:dyDescent="0.35">
      <c r="A45" t="s">
        <v>24</v>
      </c>
      <c r="B45" s="1" t="s">
        <v>97</v>
      </c>
      <c r="C45" s="21">
        <v>11.7433</v>
      </c>
      <c r="D45" s="4">
        <v>6</v>
      </c>
      <c r="E45" s="4">
        <v>598</v>
      </c>
      <c r="F45" s="21">
        <v>5737.4255999999996</v>
      </c>
      <c r="G45" s="1" t="s">
        <v>38</v>
      </c>
      <c r="H45" s="4">
        <v>36</v>
      </c>
      <c r="I45" s="4">
        <v>85</v>
      </c>
      <c r="J45">
        <v>29</v>
      </c>
      <c r="K45" s="1" t="s">
        <v>44</v>
      </c>
      <c r="L45" s="1" t="s">
        <v>29</v>
      </c>
      <c r="M45" s="4">
        <v>206</v>
      </c>
      <c r="N45">
        <v>23</v>
      </c>
      <c r="O45" s="21">
        <v>26.2774</v>
      </c>
      <c r="P45" s="1" t="s">
        <v>30</v>
      </c>
      <c r="Q45" s="3">
        <v>0.37230476798509698</v>
      </c>
      <c r="R45" s="22">
        <f>Glow[[#This Row],[Defect rates]]/100</f>
        <v>3.72304767985097E-3</v>
      </c>
      <c r="S45" s="4">
        <v>9</v>
      </c>
      <c r="T45" s="1" t="s">
        <v>27</v>
      </c>
      <c r="U45" s="21">
        <v>3.6940212683884499</v>
      </c>
      <c r="V45" s="4">
        <v>1</v>
      </c>
      <c r="W45" s="1" t="s">
        <v>40</v>
      </c>
      <c r="X45" s="1" t="s">
        <v>48</v>
      </c>
      <c r="Y45" s="21">
        <v>716.04409999999996</v>
      </c>
    </row>
    <row r="46" spans="1:25" x14ac:dyDescent="0.35">
      <c r="A46" t="s">
        <v>57</v>
      </c>
      <c r="B46" s="1" t="s">
        <v>98</v>
      </c>
      <c r="C46" s="21">
        <v>51.355800000000002</v>
      </c>
      <c r="D46" s="4">
        <v>34</v>
      </c>
      <c r="E46" s="4">
        <v>919</v>
      </c>
      <c r="F46" s="21">
        <v>7152.2860000000001</v>
      </c>
      <c r="G46" s="1" t="s">
        <v>35</v>
      </c>
      <c r="H46" s="4">
        <v>13</v>
      </c>
      <c r="I46" s="4">
        <v>72</v>
      </c>
      <c r="J46">
        <v>19</v>
      </c>
      <c r="K46" s="1" t="s">
        <v>61</v>
      </c>
      <c r="L46" s="1" t="s">
        <v>50</v>
      </c>
      <c r="M46" s="4">
        <v>834</v>
      </c>
      <c r="N46">
        <v>18</v>
      </c>
      <c r="O46" s="21">
        <v>22.554099999999998</v>
      </c>
      <c r="P46" s="1" t="s">
        <v>46</v>
      </c>
      <c r="Q46" s="3">
        <v>2.9626263204548802</v>
      </c>
      <c r="R46" s="22">
        <f>Glow[[#This Row],[Defect rates]]/100</f>
        <v>2.9626263204548801E-2</v>
      </c>
      <c r="S46" s="4">
        <v>6</v>
      </c>
      <c r="T46" s="1" t="s">
        <v>43</v>
      </c>
      <c r="U46" s="21">
        <v>7.5774496573766896</v>
      </c>
      <c r="V46" s="4">
        <v>7</v>
      </c>
      <c r="W46" s="1" t="s">
        <v>47</v>
      </c>
      <c r="X46" s="1" t="s">
        <v>48</v>
      </c>
      <c r="Y46" s="21">
        <v>610.45330000000001</v>
      </c>
    </row>
    <row r="47" spans="1:25" x14ac:dyDescent="0.35">
      <c r="A47" t="s">
        <v>24</v>
      </c>
      <c r="B47" s="1" t="s">
        <v>99</v>
      </c>
      <c r="C47" s="21">
        <v>33.784100000000002</v>
      </c>
      <c r="D47" s="4">
        <v>1</v>
      </c>
      <c r="E47" s="4">
        <v>24</v>
      </c>
      <c r="F47" s="21">
        <v>5267.9567999999999</v>
      </c>
      <c r="G47" s="1" t="s">
        <v>55</v>
      </c>
      <c r="H47" s="4">
        <v>93</v>
      </c>
      <c r="I47" s="4">
        <v>52</v>
      </c>
      <c r="J47">
        <v>7</v>
      </c>
      <c r="K47" s="1" t="s">
        <v>61</v>
      </c>
      <c r="L47" s="1" t="s">
        <v>62</v>
      </c>
      <c r="M47" s="4">
        <v>794</v>
      </c>
      <c r="N47">
        <v>25</v>
      </c>
      <c r="O47" s="21">
        <v>66.3125</v>
      </c>
      <c r="P47" s="1" t="s">
        <v>64</v>
      </c>
      <c r="Q47" s="3">
        <v>3.2196046120841002</v>
      </c>
      <c r="R47" s="22">
        <f>Glow[[#This Row],[Defect rates]]/100</f>
        <v>3.2196046120841003E-2</v>
      </c>
      <c r="S47" s="4">
        <v>6</v>
      </c>
      <c r="T47" s="1" t="s">
        <v>27</v>
      </c>
      <c r="U47" s="21">
        <v>5.2151550087119096</v>
      </c>
      <c r="V47" s="4">
        <v>25</v>
      </c>
      <c r="W47" s="1" t="s">
        <v>47</v>
      </c>
      <c r="X47" s="1" t="s">
        <v>48</v>
      </c>
      <c r="Y47" s="21">
        <v>495.3057</v>
      </c>
    </row>
    <row r="48" spans="1:25" x14ac:dyDescent="0.35">
      <c r="A48" t="s">
        <v>24</v>
      </c>
      <c r="B48" s="1" t="s">
        <v>100</v>
      </c>
      <c r="C48" s="21">
        <v>27.0822</v>
      </c>
      <c r="D48" s="4">
        <v>75</v>
      </c>
      <c r="E48" s="4">
        <v>859</v>
      </c>
      <c r="F48" s="21">
        <v>2556.7674000000002</v>
      </c>
      <c r="G48" s="1" t="s">
        <v>26</v>
      </c>
      <c r="H48" s="4">
        <v>92</v>
      </c>
      <c r="I48" s="4">
        <v>6</v>
      </c>
      <c r="J48">
        <v>29</v>
      </c>
      <c r="K48" s="1" t="s">
        <v>28</v>
      </c>
      <c r="L48" s="1" t="s">
        <v>62</v>
      </c>
      <c r="M48" s="4">
        <v>870</v>
      </c>
      <c r="N48">
        <v>23</v>
      </c>
      <c r="O48" s="21">
        <v>77.322400000000002</v>
      </c>
      <c r="P48" s="1" t="s">
        <v>30</v>
      </c>
      <c r="Q48" s="3">
        <v>3.6486105925361998</v>
      </c>
      <c r="R48" s="22">
        <f>Glow[[#This Row],[Defect rates]]/100</f>
        <v>3.6486105925362E-2</v>
      </c>
      <c r="S48" s="4">
        <v>8</v>
      </c>
      <c r="T48" s="1" t="s">
        <v>27</v>
      </c>
      <c r="U48" s="21">
        <v>4.0709558370840799</v>
      </c>
      <c r="V48" s="4">
        <v>18</v>
      </c>
      <c r="W48" s="1" t="s">
        <v>31</v>
      </c>
      <c r="X48" s="1" t="s">
        <v>32</v>
      </c>
      <c r="Y48" s="21">
        <v>380.4359</v>
      </c>
    </row>
    <row r="49" spans="1:25" x14ac:dyDescent="0.35">
      <c r="A49" t="s">
        <v>33</v>
      </c>
      <c r="B49" s="1" t="s">
        <v>101</v>
      </c>
      <c r="C49" s="21">
        <v>95.712100000000007</v>
      </c>
      <c r="D49" s="4">
        <v>93</v>
      </c>
      <c r="E49" s="4">
        <v>910</v>
      </c>
      <c r="F49" s="21">
        <v>7089.4741999999997</v>
      </c>
      <c r="G49" s="1" t="s">
        <v>55</v>
      </c>
      <c r="H49" s="4">
        <v>4</v>
      </c>
      <c r="I49" s="4">
        <v>51</v>
      </c>
      <c r="J49">
        <v>15</v>
      </c>
      <c r="K49" s="1" t="s">
        <v>39</v>
      </c>
      <c r="L49" s="1" t="s">
        <v>45</v>
      </c>
      <c r="M49" s="4">
        <v>964</v>
      </c>
      <c r="N49">
        <v>20</v>
      </c>
      <c r="O49" s="21">
        <v>19.713000000000001</v>
      </c>
      <c r="P49" s="1" t="s">
        <v>30</v>
      </c>
      <c r="Q49" s="3">
        <v>0.38057358671321301</v>
      </c>
      <c r="R49" s="22">
        <f>Glow[[#This Row],[Defect rates]]/100</f>
        <v>3.8057358671321302E-3</v>
      </c>
      <c r="S49" s="4">
        <v>9</v>
      </c>
      <c r="T49" s="1" t="s">
        <v>27</v>
      </c>
      <c r="U49" s="21">
        <v>8.9787507559499709</v>
      </c>
      <c r="V49" s="4">
        <v>10</v>
      </c>
      <c r="W49" s="1" t="s">
        <v>47</v>
      </c>
      <c r="X49" s="1" t="s">
        <v>48</v>
      </c>
      <c r="Y49" s="21">
        <v>581.60239999999999</v>
      </c>
    </row>
    <row r="50" spans="1:25" x14ac:dyDescent="0.35">
      <c r="A50" t="s">
        <v>24</v>
      </c>
      <c r="B50" s="1" t="s">
        <v>102</v>
      </c>
      <c r="C50" s="21">
        <v>76.035499999999999</v>
      </c>
      <c r="D50" s="4">
        <v>28</v>
      </c>
      <c r="E50" s="4">
        <v>29</v>
      </c>
      <c r="F50" s="21">
        <v>7397.0709999999999</v>
      </c>
      <c r="G50" s="1" t="s">
        <v>26</v>
      </c>
      <c r="H50" s="4">
        <v>30</v>
      </c>
      <c r="I50" s="4">
        <v>9</v>
      </c>
      <c r="J50">
        <v>16</v>
      </c>
      <c r="K50" s="1" t="s">
        <v>61</v>
      </c>
      <c r="L50" s="1" t="s">
        <v>29</v>
      </c>
      <c r="M50" s="4">
        <v>109</v>
      </c>
      <c r="N50">
        <v>18</v>
      </c>
      <c r="O50" s="21">
        <v>23.1264</v>
      </c>
      <c r="P50" s="1" t="s">
        <v>46</v>
      </c>
      <c r="Q50" s="3">
        <v>1.6981125407144</v>
      </c>
      <c r="R50" s="22">
        <f>Glow[[#This Row],[Defect rates]]/100</f>
        <v>1.6981125407143999E-2</v>
      </c>
      <c r="S50" s="4">
        <v>3</v>
      </c>
      <c r="T50" s="1" t="s">
        <v>43</v>
      </c>
      <c r="U50" s="21">
        <v>7.0958331565551296</v>
      </c>
      <c r="V50" s="4">
        <v>9</v>
      </c>
      <c r="W50" s="1" t="s">
        <v>47</v>
      </c>
      <c r="X50" s="1" t="s">
        <v>32</v>
      </c>
      <c r="Y50" s="21">
        <v>768.65189999999996</v>
      </c>
    </row>
    <row r="51" spans="1:25" x14ac:dyDescent="0.35">
      <c r="A51" t="s">
        <v>57</v>
      </c>
      <c r="B51" s="1" t="s">
        <v>103</v>
      </c>
      <c r="C51" s="21">
        <v>78.897900000000007</v>
      </c>
      <c r="D51" s="4">
        <v>19</v>
      </c>
      <c r="E51" s="4">
        <v>99</v>
      </c>
      <c r="F51" s="21">
        <v>8001.6131999999998</v>
      </c>
      <c r="G51" s="1" t="s">
        <v>38</v>
      </c>
      <c r="H51" s="4">
        <v>97</v>
      </c>
      <c r="I51" s="4">
        <v>9</v>
      </c>
      <c r="J51">
        <v>24</v>
      </c>
      <c r="K51" s="1" t="s">
        <v>44</v>
      </c>
      <c r="L51" s="1" t="s">
        <v>50</v>
      </c>
      <c r="M51" s="4">
        <v>177</v>
      </c>
      <c r="N51">
        <v>28</v>
      </c>
      <c r="O51" s="21">
        <v>14.1478</v>
      </c>
      <c r="P51" s="1" t="s">
        <v>64</v>
      </c>
      <c r="Q51" s="3">
        <v>2.8258139854001301</v>
      </c>
      <c r="R51" s="22">
        <f>Glow[[#This Row],[Defect rates]]/100</f>
        <v>2.8258139854001302E-2</v>
      </c>
      <c r="S51" s="4">
        <v>6</v>
      </c>
      <c r="T51" s="1" t="s">
        <v>43</v>
      </c>
      <c r="U51" s="21">
        <v>2.5056210329009101</v>
      </c>
      <c r="V51" s="4">
        <v>28</v>
      </c>
      <c r="W51" s="1" t="s">
        <v>47</v>
      </c>
      <c r="X51" s="1" t="s">
        <v>48</v>
      </c>
      <c r="Y51" s="21">
        <v>336.89019999999999</v>
      </c>
    </row>
    <row r="52" spans="1:25" x14ac:dyDescent="0.35">
      <c r="A52" t="s">
        <v>57</v>
      </c>
      <c r="B52" s="1" t="s">
        <v>104</v>
      </c>
      <c r="C52" s="21">
        <v>14.2035</v>
      </c>
      <c r="D52" s="4">
        <v>91</v>
      </c>
      <c r="E52" s="4">
        <v>633</v>
      </c>
      <c r="F52" s="21">
        <v>5910.8854000000001</v>
      </c>
      <c r="G52" s="1" t="s">
        <v>35</v>
      </c>
      <c r="H52" s="4">
        <v>31</v>
      </c>
      <c r="I52" s="4">
        <v>82</v>
      </c>
      <c r="J52">
        <v>23</v>
      </c>
      <c r="K52" s="1" t="s">
        <v>61</v>
      </c>
      <c r="L52" s="1" t="s">
        <v>50</v>
      </c>
      <c r="M52" s="4">
        <v>306</v>
      </c>
      <c r="N52">
        <v>21</v>
      </c>
      <c r="O52" s="21">
        <v>45.178800000000003</v>
      </c>
      <c r="P52" s="1" t="s">
        <v>46</v>
      </c>
      <c r="Q52" s="3">
        <v>4.7548008046711798</v>
      </c>
      <c r="R52" s="22">
        <f>Glow[[#This Row],[Defect rates]]/100</f>
        <v>4.7548008046711797E-2</v>
      </c>
      <c r="S52" s="4">
        <v>10</v>
      </c>
      <c r="T52" s="1" t="s">
        <v>36</v>
      </c>
      <c r="U52" s="21">
        <v>6.2478609149759903</v>
      </c>
      <c r="V52" s="4">
        <v>20</v>
      </c>
      <c r="W52" s="1" t="s">
        <v>47</v>
      </c>
      <c r="X52" s="1" t="s">
        <v>32</v>
      </c>
      <c r="Y52" s="21">
        <v>496.24869999999999</v>
      </c>
    </row>
    <row r="53" spans="1:25" x14ac:dyDescent="0.35">
      <c r="A53" t="s">
        <v>24</v>
      </c>
      <c r="B53" s="1" t="s">
        <v>105</v>
      </c>
      <c r="C53" s="21">
        <v>26.700800000000001</v>
      </c>
      <c r="D53" s="4">
        <v>61</v>
      </c>
      <c r="E53" s="4">
        <v>154</v>
      </c>
      <c r="F53" s="21">
        <v>9866.4655000000002</v>
      </c>
      <c r="G53" s="1" t="s">
        <v>55</v>
      </c>
      <c r="H53" s="4">
        <v>100</v>
      </c>
      <c r="I53" s="4">
        <v>52</v>
      </c>
      <c r="J53">
        <v>4</v>
      </c>
      <c r="K53" s="1" t="s">
        <v>44</v>
      </c>
      <c r="L53" s="1" t="s">
        <v>53</v>
      </c>
      <c r="M53" s="4">
        <v>673</v>
      </c>
      <c r="N53">
        <v>28</v>
      </c>
      <c r="O53" s="21">
        <v>14.190300000000001</v>
      </c>
      <c r="P53" s="1" t="s">
        <v>30</v>
      </c>
      <c r="Q53" s="3">
        <v>1.77295117208355</v>
      </c>
      <c r="R53" s="22">
        <f>Glow[[#This Row],[Defect rates]]/100</f>
        <v>1.7729511720835499E-2</v>
      </c>
      <c r="S53" s="4">
        <v>1</v>
      </c>
      <c r="T53" s="1" t="s">
        <v>36</v>
      </c>
      <c r="U53" s="21">
        <v>4.78300055794766</v>
      </c>
      <c r="V53" s="4">
        <v>18</v>
      </c>
      <c r="W53" s="1" t="s">
        <v>31</v>
      </c>
      <c r="X53" s="1" t="s">
        <v>48</v>
      </c>
      <c r="Y53" s="21">
        <v>694.98230000000001</v>
      </c>
    </row>
    <row r="54" spans="1:25" x14ac:dyDescent="0.35">
      <c r="A54" t="s">
        <v>33</v>
      </c>
      <c r="B54" s="1" t="s">
        <v>106</v>
      </c>
      <c r="C54" s="21">
        <v>98.031800000000004</v>
      </c>
      <c r="D54" s="4">
        <v>1</v>
      </c>
      <c r="E54" s="4">
        <v>820</v>
      </c>
      <c r="F54" s="21">
        <v>9435.7626</v>
      </c>
      <c r="G54" s="1" t="s">
        <v>55</v>
      </c>
      <c r="H54" s="4">
        <v>64</v>
      </c>
      <c r="I54" s="4">
        <v>11</v>
      </c>
      <c r="J54">
        <v>11</v>
      </c>
      <c r="K54" s="1" t="s">
        <v>39</v>
      </c>
      <c r="L54" s="1" t="s">
        <v>29</v>
      </c>
      <c r="M54" s="4">
        <v>727</v>
      </c>
      <c r="N54">
        <v>27</v>
      </c>
      <c r="O54" s="21">
        <v>9.1668000000000003</v>
      </c>
      <c r="P54" s="1" t="s">
        <v>30</v>
      </c>
      <c r="Q54" s="3">
        <v>2.1224716191438202</v>
      </c>
      <c r="R54" s="22">
        <f>Glow[[#This Row],[Defect rates]]/100</f>
        <v>2.1224716191438203E-2</v>
      </c>
      <c r="S54" s="4">
        <v>1</v>
      </c>
      <c r="T54" s="1" t="s">
        <v>27</v>
      </c>
      <c r="U54" s="21">
        <v>8.6310521797689397</v>
      </c>
      <c r="V54" s="4">
        <v>10</v>
      </c>
      <c r="W54" s="1" t="s">
        <v>40</v>
      </c>
      <c r="X54" s="1" t="s">
        <v>41</v>
      </c>
      <c r="Y54" s="21">
        <v>602.89850000000001</v>
      </c>
    </row>
    <row r="55" spans="1:25" x14ac:dyDescent="0.35">
      <c r="A55" t="s">
        <v>33</v>
      </c>
      <c r="B55" s="1" t="s">
        <v>107</v>
      </c>
      <c r="C55" s="21">
        <v>30.3415</v>
      </c>
      <c r="D55" s="4">
        <v>93</v>
      </c>
      <c r="E55" s="4">
        <v>242</v>
      </c>
      <c r="F55" s="21">
        <v>8232.3348000000005</v>
      </c>
      <c r="G55" s="1" t="s">
        <v>55</v>
      </c>
      <c r="H55" s="4">
        <v>96</v>
      </c>
      <c r="I55" s="4">
        <v>54</v>
      </c>
      <c r="J55">
        <v>25</v>
      </c>
      <c r="K55" s="1" t="s">
        <v>39</v>
      </c>
      <c r="L55" s="1" t="s">
        <v>50</v>
      </c>
      <c r="M55" s="4">
        <v>631</v>
      </c>
      <c r="N55">
        <v>17</v>
      </c>
      <c r="O55" s="21">
        <v>83.344099999999997</v>
      </c>
      <c r="P55" s="1" t="s">
        <v>30</v>
      </c>
      <c r="Q55" s="3">
        <v>1.41034757607602</v>
      </c>
      <c r="R55" s="22">
        <f>Glow[[#This Row],[Defect rates]]/100</f>
        <v>1.41034757607602E-2</v>
      </c>
      <c r="S55" s="4">
        <v>3</v>
      </c>
      <c r="T55" s="1" t="s">
        <v>27</v>
      </c>
      <c r="U55" s="21">
        <v>1.0134865660958901</v>
      </c>
      <c r="V55" s="4">
        <v>1</v>
      </c>
      <c r="W55" s="1" t="s">
        <v>40</v>
      </c>
      <c r="X55" s="1" t="s">
        <v>32</v>
      </c>
      <c r="Y55" s="21">
        <v>750.73779999999999</v>
      </c>
    </row>
    <row r="56" spans="1:25" x14ac:dyDescent="0.35">
      <c r="A56" t="s">
        <v>24</v>
      </c>
      <c r="B56" s="1" t="s">
        <v>108</v>
      </c>
      <c r="C56" s="21">
        <v>31.1462</v>
      </c>
      <c r="D56" s="4">
        <v>11</v>
      </c>
      <c r="E56" s="4">
        <v>622</v>
      </c>
      <c r="F56" s="21">
        <v>6088.0214999999998</v>
      </c>
      <c r="G56" s="1" t="s">
        <v>26</v>
      </c>
      <c r="H56" s="4">
        <v>33</v>
      </c>
      <c r="I56" s="4">
        <v>61</v>
      </c>
      <c r="J56">
        <v>22</v>
      </c>
      <c r="K56" s="1" t="s">
        <v>39</v>
      </c>
      <c r="L56" s="1" t="s">
        <v>45</v>
      </c>
      <c r="M56" s="4">
        <v>497</v>
      </c>
      <c r="N56">
        <v>29</v>
      </c>
      <c r="O56" s="21">
        <v>30.186</v>
      </c>
      <c r="P56" s="1" t="s">
        <v>64</v>
      </c>
      <c r="Q56" s="3">
        <v>2.4787719755397402</v>
      </c>
      <c r="R56" s="22">
        <f>Glow[[#This Row],[Defect rates]]/100</f>
        <v>2.4787719755397401E-2</v>
      </c>
      <c r="S56" s="4">
        <v>3</v>
      </c>
      <c r="T56" s="1" t="s">
        <v>27</v>
      </c>
      <c r="U56" s="21">
        <v>4.3051034712876302</v>
      </c>
      <c r="V56" s="4">
        <v>26</v>
      </c>
      <c r="W56" s="1" t="s">
        <v>31</v>
      </c>
      <c r="X56" s="1" t="s">
        <v>32</v>
      </c>
      <c r="Y56" s="21">
        <v>814.07</v>
      </c>
    </row>
    <row r="57" spans="1:25" x14ac:dyDescent="0.35">
      <c r="A57" t="s">
        <v>24</v>
      </c>
      <c r="B57" s="1" t="s">
        <v>109</v>
      </c>
      <c r="C57" s="21">
        <v>79.855099999999993</v>
      </c>
      <c r="D57" s="4">
        <v>16</v>
      </c>
      <c r="E57" s="4">
        <v>701</v>
      </c>
      <c r="F57" s="21">
        <v>2925.6752000000001</v>
      </c>
      <c r="G57" s="1" t="s">
        <v>55</v>
      </c>
      <c r="H57" s="4">
        <v>97</v>
      </c>
      <c r="I57" s="4">
        <v>11</v>
      </c>
      <c r="J57">
        <v>11</v>
      </c>
      <c r="K57" s="1" t="s">
        <v>61</v>
      </c>
      <c r="L57" s="1" t="s">
        <v>50</v>
      </c>
      <c r="M57" s="4">
        <v>918</v>
      </c>
      <c r="N57">
        <v>5</v>
      </c>
      <c r="O57" s="21">
        <v>30.323499999999999</v>
      </c>
      <c r="P57" s="1" t="s">
        <v>46</v>
      </c>
      <c r="Q57" s="3">
        <v>4.5489196593963799</v>
      </c>
      <c r="R57" s="22">
        <f>Glow[[#This Row],[Defect rates]]/100</f>
        <v>4.5489196593963797E-2</v>
      </c>
      <c r="S57" s="4">
        <v>5</v>
      </c>
      <c r="T57" s="1" t="s">
        <v>36</v>
      </c>
      <c r="U57" s="21">
        <v>5.0143649550309002</v>
      </c>
      <c r="V57" s="4">
        <v>27</v>
      </c>
      <c r="W57" s="1" t="s">
        <v>56</v>
      </c>
      <c r="X57" s="1" t="s">
        <v>32</v>
      </c>
      <c r="Y57" s="21">
        <v>323.0129</v>
      </c>
    </row>
    <row r="58" spans="1:25" x14ac:dyDescent="0.35">
      <c r="A58" t="s">
        <v>33</v>
      </c>
      <c r="B58" s="1" t="s">
        <v>110</v>
      </c>
      <c r="C58" s="21">
        <v>20.9864</v>
      </c>
      <c r="D58" s="4">
        <v>90</v>
      </c>
      <c r="E58" s="4">
        <v>93</v>
      </c>
      <c r="F58" s="21">
        <v>4767.0204999999996</v>
      </c>
      <c r="G58" s="1" t="s">
        <v>26</v>
      </c>
      <c r="H58" s="4">
        <v>25</v>
      </c>
      <c r="I58" s="4">
        <v>83</v>
      </c>
      <c r="J58">
        <v>23</v>
      </c>
      <c r="K58" s="1" t="s">
        <v>39</v>
      </c>
      <c r="L58" s="1" t="s">
        <v>29</v>
      </c>
      <c r="M58" s="4">
        <v>826</v>
      </c>
      <c r="N58">
        <v>28</v>
      </c>
      <c r="O58" s="21">
        <v>12.8363</v>
      </c>
      <c r="P58" s="1" t="s">
        <v>64</v>
      </c>
      <c r="Q58" s="3">
        <v>1.1737554953874501</v>
      </c>
      <c r="R58" s="22">
        <f>Glow[[#This Row],[Defect rates]]/100</f>
        <v>1.1737554953874501E-2</v>
      </c>
      <c r="S58" s="4">
        <v>5</v>
      </c>
      <c r="T58" s="1" t="s">
        <v>43</v>
      </c>
      <c r="U58" s="21">
        <v>1.77442971407173</v>
      </c>
      <c r="V58" s="4">
        <v>24</v>
      </c>
      <c r="W58" s="1" t="s">
        <v>40</v>
      </c>
      <c r="X58" s="1" t="s">
        <v>32</v>
      </c>
      <c r="Y58" s="21">
        <v>832.21079999999995</v>
      </c>
    </row>
    <row r="59" spans="1:25" x14ac:dyDescent="0.35">
      <c r="A59" t="s">
        <v>24</v>
      </c>
      <c r="B59" s="1" t="s">
        <v>111</v>
      </c>
      <c r="C59" s="21">
        <v>49.263199999999998</v>
      </c>
      <c r="D59" s="4">
        <v>65</v>
      </c>
      <c r="E59" s="4">
        <v>227</v>
      </c>
      <c r="F59" s="21">
        <v>1605.8669</v>
      </c>
      <c r="G59" s="1" t="s">
        <v>38</v>
      </c>
      <c r="H59" s="4">
        <v>5</v>
      </c>
      <c r="I59" s="4">
        <v>51</v>
      </c>
      <c r="J59">
        <v>18</v>
      </c>
      <c r="K59" s="1" t="s">
        <v>61</v>
      </c>
      <c r="L59" s="1" t="s">
        <v>50</v>
      </c>
      <c r="M59" s="4">
        <v>588</v>
      </c>
      <c r="N59">
        <v>25</v>
      </c>
      <c r="O59" s="21">
        <v>67.779600000000002</v>
      </c>
      <c r="P59" s="1" t="s">
        <v>30</v>
      </c>
      <c r="Q59" s="3">
        <v>2.5111748302126999</v>
      </c>
      <c r="R59" s="22">
        <f>Glow[[#This Row],[Defect rates]]/100</f>
        <v>2.5111748302127E-2</v>
      </c>
      <c r="S59" s="4">
        <v>1</v>
      </c>
      <c r="T59" s="1" t="s">
        <v>27</v>
      </c>
      <c r="U59" s="21">
        <v>9.1605585353818704</v>
      </c>
      <c r="V59" s="4">
        <v>21</v>
      </c>
      <c r="W59" s="1" t="s">
        <v>47</v>
      </c>
      <c r="X59" s="1" t="s">
        <v>48</v>
      </c>
      <c r="Y59" s="21">
        <v>482.19119999999998</v>
      </c>
    </row>
    <row r="60" spans="1:25" x14ac:dyDescent="0.35">
      <c r="A60" t="s">
        <v>33</v>
      </c>
      <c r="B60" s="1" t="s">
        <v>112</v>
      </c>
      <c r="C60" s="21">
        <v>59.8416</v>
      </c>
      <c r="D60" s="4">
        <v>81</v>
      </c>
      <c r="E60" s="4">
        <v>896</v>
      </c>
      <c r="F60" s="21">
        <v>2021.1497999999999</v>
      </c>
      <c r="G60" s="1" t="s">
        <v>26</v>
      </c>
      <c r="H60" s="4">
        <v>10</v>
      </c>
      <c r="I60" s="4">
        <v>44</v>
      </c>
      <c r="J60">
        <v>5</v>
      </c>
      <c r="K60" s="1" t="s">
        <v>28</v>
      </c>
      <c r="L60" s="1" t="s">
        <v>50</v>
      </c>
      <c r="M60" s="4">
        <v>396</v>
      </c>
      <c r="N60">
        <v>7</v>
      </c>
      <c r="O60" s="21">
        <v>65.047399999999996</v>
      </c>
      <c r="P60" s="1" t="s">
        <v>46</v>
      </c>
      <c r="Q60" s="3">
        <v>1.7303747198591899</v>
      </c>
      <c r="R60" s="22">
        <f>Glow[[#This Row],[Defect rates]]/100</f>
        <v>1.7303747198591898E-2</v>
      </c>
      <c r="S60" s="4">
        <v>7</v>
      </c>
      <c r="T60" s="1" t="s">
        <v>36</v>
      </c>
      <c r="U60" s="21">
        <v>4.9384385647120901</v>
      </c>
      <c r="V60" s="4">
        <v>18</v>
      </c>
      <c r="W60" s="1" t="s">
        <v>31</v>
      </c>
      <c r="X60" s="1" t="s">
        <v>32</v>
      </c>
      <c r="Y60" s="21">
        <v>110.3643</v>
      </c>
    </row>
    <row r="61" spans="1:25" x14ac:dyDescent="0.35">
      <c r="A61" t="s">
        <v>57</v>
      </c>
      <c r="B61" s="1" t="s">
        <v>113</v>
      </c>
      <c r="C61" s="21">
        <v>63.828400000000002</v>
      </c>
      <c r="D61" s="4">
        <v>30</v>
      </c>
      <c r="E61" s="4">
        <v>484</v>
      </c>
      <c r="F61" s="21">
        <v>1061.6185</v>
      </c>
      <c r="G61" s="1" t="s">
        <v>26</v>
      </c>
      <c r="H61" s="4">
        <v>100</v>
      </c>
      <c r="I61" s="4">
        <v>26</v>
      </c>
      <c r="J61">
        <v>16</v>
      </c>
      <c r="K61" s="1" t="s">
        <v>39</v>
      </c>
      <c r="L61" s="1" t="s">
        <v>45</v>
      </c>
      <c r="M61" s="4">
        <v>176</v>
      </c>
      <c r="N61">
        <v>4</v>
      </c>
      <c r="O61" s="21">
        <v>1.9008</v>
      </c>
      <c r="P61" s="1" t="s">
        <v>46</v>
      </c>
      <c r="Q61" s="3">
        <v>0.44719401546382298</v>
      </c>
      <c r="R61" s="22">
        <f>Glow[[#This Row],[Defect rates]]/100</f>
        <v>4.4719401546382299E-3</v>
      </c>
      <c r="S61" s="4">
        <v>7</v>
      </c>
      <c r="T61" s="1" t="s">
        <v>27</v>
      </c>
      <c r="U61" s="21">
        <v>7.2937225968677204</v>
      </c>
      <c r="V61" s="4">
        <v>11</v>
      </c>
      <c r="W61" s="1" t="s">
        <v>40</v>
      </c>
      <c r="X61" s="1" t="s">
        <v>48</v>
      </c>
      <c r="Y61" s="21">
        <v>312.57429999999999</v>
      </c>
    </row>
    <row r="62" spans="1:25" x14ac:dyDescent="0.35">
      <c r="A62" t="s">
        <v>33</v>
      </c>
      <c r="B62" s="1" t="s">
        <v>114</v>
      </c>
      <c r="C62" s="21">
        <v>17.027999999999999</v>
      </c>
      <c r="D62" s="4">
        <v>16</v>
      </c>
      <c r="E62" s="4">
        <v>380</v>
      </c>
      <c r="F62" s="21">
        <v>8864.0843000000004</v>
      </c>
      <c r="G62" s="1" t="s">
        <v>35</v>
      </c>
      <c r="H62" s="4">
        <v>41</v>
      </c>
      <c r="I62" s="4">
        <v>72</v>
      </c>
      <c r="J62">
        <v>27</v>
      </c>
      <c r="K62" s="1" t="s">
        <v>52</v>
      </c>
      <c r="L62" s="1" t="s">
        <v>29</v>
      </c>
      <c r="M62" s="4">
        <v>929</v>
      </c>
      <c r="N62">
        <v>24</v>
      </c>
      <c r="O62" s="21">
        <v>87.213099999999997</v>
      </c>
      <c r="P62" s="1" t="s">
        <v>46</v>
      </c>
      <c r="Q62" s="3">
        <v>2.8530906166490499</v>
      </c>
      <c r="R62" s="22">
        <f>Glow[[#This Row],[Defect rates]]/100</f>
        <v>2.85309061664905E-2</v>
      </c>
      <c r="S62" s="4">
        <v>8</v>
      </c>
      <c r="T62" s="1" t="s">
        <v>43</v>
      </c>
      <c r="U62" s="21">
        <v>4.3813681581023101</v>
      </c>
      <c r="V62" s="4">
        <v>29</v>
      </c>
      <c r="W62" s="1" t="s">
        <v>47</v>
      </c>
      <c r="X62" s="1" t="s">
        <v>48</v>
      </c>
      <c r="Y62" s="21">
        <v>430.16910000000001</v>
      </c>
    </row>
    <row r="63" spans="1:25" x14ac:dyDescent="0.35">
      <c r="A63" t="s">
        <v>24</v>
      </c>
      <c r="B63" s="1" t="s">
        <v>115</v>
      </c>
      <c r="C63" s="21">
        <v>52.028700000000001</v>
      </c>
      <c r="D63" s="4">
        <v>23</v>
      </c>
      <c r="E63" s="4">
        <v>117</v>
      </c>
      <c r="F63" s="21">
        <v>6885.5893999999998</v>
      </c>
      <c r="G63" s="1" t="s">
        <v>38</v>
      </c>
      <c r="H63" s="4">
        <v>32</v>
      </c>
      <c r="I63" s="4">
        <v>36</v>
      </c>
      <c r="J63">
        <v>23</v>
      </c>
      <c r="K63" s="1" t="s">
        <v>52</v>
      </c>
      <c r="L63" s="1" t="s">
        <v>45</v>
      </c>
      <c r="M63" s="4">
        <v>480</v>
      </c>
      <c r="N63">
        <v>12</v>
      </c>
      <c r="O63" s="21">
        <v>78.702399999999997</v>
      </c>
      <c r="P63" s="1" t="s">
        <v>46</v>
      </c>
      <c r="Q63" s="3">
        <v>4.3674705382050503</v>
      </c>
      <c r="R63" s="22">
        <f>Glow[[#This Row],[Defect rates]]/100</f>
        <v>4.3674705382050504E-2</v>
      </c>
      <c r="S63" s="4">
        <v>7</v>
      </c>
      <c r="T63" s="1" t="s">
        <v>43</v>
      </c>
      <c r="U63" s="21">
        <v>9.0303404225219399</v>
      </c>
      <c r="V63" s="4">
        <v>14</v>
      </c>
      <c r="W63" s="1" t="s">
        <v>40</v>
      </c>
      <c r="X63" s="1" t="s">
        <v>48</v>
      </c>
      <c r="Y63" s="21">
        <v>164.3665</v>
      </c>
    </row>
    <row r="64" spans="1:25" x14ac:dyDescent="0.35">
      <c r="A64" t="s">
        <v>57</v>
      </c>
      <c r="B64" s="1" t="s">
        <v>116</v>
      </c>
      <c r="C64" s="21">
        <v>72.796400000000006</v>
      </c>
      <c r="D64" s="4">
        <v>89</v>
      </c>
      <c r="E64" s="4">
        <v>270</v>
      </c>
      <c r="F64" s="21">
        <v>3899.7467999999999</v>
      </c>
      <c r="G64" s="1" t="s">
        <v>38</v>
      </c>
      <c r="H64" s="4">
        <v>86</v>
      </c>
      <c r="I64" s="4">
        <v>40</v>
      </c>
      <c r="J64">
        <v>2</v>
      </c>
      <c r="K64" s="1" t="s">
        <v>61</v>
      </c>
      <c r="L64" s="1" t="s">
        <v>29</v>
      </c>
      <c r="M64" s="4">
        <v>751</v>
      </c>
      <c r="N64">
        <v>14</v>
      </c>
      <c r="O64" s="21">
        <v>21.0486</v>
      </c>
      <c r="P64" s="1" t="s">
        <v>64</v>
      </c>
      <c r="Q64" s="3">
        <v>1.87400140404437</v>
      </c>
      <c r="R64" s="22">
        <f>Glow[[#This Row],[Defect rates]]/100</f>
        <v>1.87400140404437E-2</v>
      </c>
      <c r="S64" s="4">
        <v>7</v>
      </c>
      <c r="T64" s="1" t="s">
        <v>43</v>
      </c>
      <c r="U64" s="21">
        <v>7.2917013887767697</v>
      </c>
      <c r="V64" s="4">
        <v>13</v>
      </c>
      <c r="W64" s="1" t="s">
        <v>56</v>
      </c>
      <c r="X64" s="1" t="s">
        <v>41</v>
      </c>
      <c r="Y64" s="21">
        <v>320.84649999999999</v>
      </c>
    </row>
    <row r="65" spans="1:25" x14ac:dyDescent="0.35">
      <c r="A65" t="s">
        <v>33</v>
      </c>
      <c r="B65" s="1" t="s">
        <v>117</v>
      </c>
      <c r="C65" s="21">
        <v>13.0174</v>
      </c>
      <c r="D65" s="4">
        <v>55</v>
      </c>
      <c r="E65" s="4">
        <v>246</v>
      </c>
      <c r="F65" s="21">
        <v>4256.9490999999998</v>
      </c>
      <c r="G65" s="1" t="s">
        <v>26</v>
      </c>
      <c r="H65" s="4">
        <v>54</v>
      </c>
      <c r="I65" s="4">
        <v>10</v>
      </c>
      <c r="J65">
        <v>19</v>
      </c>
      <c r="K65" s="1" t="s">
        <v>28</v>
      </c>
      <c r="L65" s="1" t="s">
        <v>53</v>
      </c>
      <c r="M65" s="4">
        <v>736</v>
      </c>
      <c r="N65">
        <v>10</v>
      </c>
      <c r="O65" s="21">
        <v>20.074999999999999</v>
      </c>
      <c r="P65" s="1" t="s">
        <v>30</v>
      </c>
      <c r="Q65" s="3">
        <v>3.6328432903821302</v>
      </c>
      <c r="R65" s="22">
        <f>Glow[[#This Row],[Defect rates]]/100</f>
        <v>3.6328432903821303E-2</v>
      </c>
      <c r="S65" s="4">
        <v>4</v>
      </c>
      <c r="T65" s="1" t="s">
        <v>36</v>
      </c>
      <c r="U65" s="21">
        <v>2.45793352798733</v>
      </c>
      <c r="V65" s="4">
        <v>18</v>
      </c>
      <c r="W65" s="1" t="s">
        <v>56</v>
      </c>
      <c r="X65" s="1" t="s">
        <v>48</v>
      </c>
      <c r="Y65" s="21">
        <v>687.28620000000001</v>
      </c>
    </row>
    <row r="66" spans="1:25" x14ac:dyDescent="0.35">
      <c r="A66" t="s">
        <v>33</v>
      </c>
      <c r="B66" s="1" t="s">
        <v>118</v>
      </c>
      <c r="C66" s="21">
        <v>89.634100000000004</v>
      </c>
      <c r="D66" s="4">
        <v>11</v>
      </c>
      <c r="E66" s="4">
        <v>134</v>
      </c>
      <c r="F66" s="21">
        <v>8458.7309000000005</v>
      </c>
      <c r="G66" s="1" t="s">
        <v>35</v>
      </c>
      <c r="H66" s="4">
        <v>73</v>
      </c>
      <c r="I66" s="4">
        <v>75</v>
      </c>
      <c r="J66">
        <v>27</v>
      </c>
      <c r="K66" s="1" t="s">
        <v>39</v>
      </c>
      <c r="L66" s="1" t="s">
        <v>50</v>
      </c>
      <c r="M66" s="4">
        <v>328</v>
      </c>
      <c r="N66">
        <v>6</v>
      </c>
      <c r="O66" s="21">
        <v>8.6929999999999996</v>
      </c>
      <c r="P66" s="1" t="s">
        <v>46</v>
      </c>
      <c r="Q66" s="3">
        <v>0.15948631471751401</v>
      </c>
      <c r="R66" s="22">
        <f>Glow[[#This Row],[Defect rates]]/100</f>
        <v>1.5948631471751401E-3</v>
      </c>
      <c r="S66" s="4">
        <v>6</v>
      </c>
      <c r="T66" s="1" t="s">
        <v>43</v>
      </c>
      <c r="U66" s="21">
        <v>4.5853534681946497</v>
      </c>
      <c r="V66" s="4">
        <v>17</v>
      </c>
      <c r="W66" s="1" t="s">
        <v>40</v>
      </c>
      <c r="X66" s="1" t="s">
        <v>41</v>
      </c>
      <c r="Y66" s="21">
        <v>771.2251</v>
      </c>
    </row>
    <row r="67" spans="1:25" x14ac:dyDescent="0.35">
      <c r="A67" t="s">
        <v>33</v>
      </c>
      <c r="B67" s="1" t="s">
        <v>119</v>
      </c>
      <c r="C67" s="21">
        <v>33.697699999999998</v>
      </c>
      <c r="D67" s="4">
        <v>72</v>
      </c>
      <c r="E67" s="4">
        <v>457</v>
      </c>
      <c r="F67" s="21">
        <v>8354.5797000000002</v>
      </c>
      <c r="G67" s="1" t="s">
        <v>55</v>
      </c>
      <c r="H67" s="4">
        <v>57</v>
      </c>
      <c r="I67" s="4">
        <v>54</v>
      </c>
      <c r="J67">
        <v>24</v>
      </c>
      <c r="K67" s="1" t="s">
        <v>44</v>
      </c>
      <c r="L67" s="1" t="s">
        <v>45</v>
      </c>
      <c r="M67" s="4">
        <v>358</v>
      </c>
      <c r="N67">
        <v>21</v>
      </c>
      <c r="O67" s="21">
        <v>1.5972</v>
      </c>
      <c r="P67" s="1" t="s">
        <v>46</v>
      </c>
      <c r="Q67" s="3">
        <v>4.9110959548423301</v>
      </c>
      <c r="R67" s="22">
        <f>Glow[[#This Row],[Defect rates]]/100</f>
        <v>4.9110959548423302E-2</v>
      </c>
      <c r="S67" s="4">
        <v>8</v>
      </c>
      <c r="T67" s="1" t="s">
        <v>43</v>
      </c>
      <c r="U67" s="21">
        <v>6.5805413478845898</v>
      </c>
      <c r="V67" s="4">
        <v>16</v>
      </c>
      <c r="W67" s="1" t="s">
        <v>47</v>
      </c>
      <c r="X67" s="1" t="s">
        <v>41</v>
      </c>
      <c r="Y67" s="21">
        <v>555.85910000000001</v>
      </c>
    </row>
    <row r="68" spans="1:25" x14ac:dyDescent="0.35">
      <c r="A68" t="s">
        <v>33</v>
      </c>
      <c r="B68" s="1" t="s">
        <v>120</v>
      </c>
      <c r="C68" s="21">
        <v>26.0349</v>
      </c>
      <c r="D68" s="4">
        <v>52</v>
      </c>
      <c r="E68" s="4">
        <v>704</v>
      </c>
      <c r="F68" s="21">
        <v>8367.7216000000008</v>
      </c>
      <c r="G68" s="1" t="s">
        <v>35</v>
      </c>
      <c r="H68" s="4">
        <v>13</v>
      </c>
      <c r="I68" s="4">
        <v>19</v>
      </c>
      <c r="J68">
        <v>17</v>
      </c>
      <c r="K68" s="1" t="s">
        <v>44</v>
      </c>
      <c r="L68" s="1" t="s">
        <v>45</v>
      </c>
      <c r="M68" s="4">
        <v>867</v>
      </c>
      <c r="N68">
        <v>28</v>
      </c>
      <c r="O68" s="21">
        <v>42.084400000000002</v>
      </c>
      <c r="P68" s="1" t="s">
        <v>46</v>
      </c>
      <c r="Q68" s="3">
        <v>3.44806328834026</v>
      </c>
      <c r="R68" s="22">
        <f>Glow[[#This Row],[Defect rates]]/100</f>
        <v>3.4480632883402598E-2</v>
      </c>
      <c r="S68" s="4">
        <v>8</v>
      </c>
      <c r="T68" s="1" t="s">
        <v>36</v>
      </c>
      <c r="U68" s="21">
        <v>2.2161427287713602</v>
      </c>
      <c r="V68" s="4">
        <v>24</v>
      </c>
      <c r="W68" s="1" t="s">
        <v>31</v>
      </c>
      <c r="X68" s="1" t="s">
        <v>48</v>
      </c>
      <c r="Y68" s="21">
        <v>393.8433</v>
      </c>
    </row>
    <row r="69" spans="1:25" x14ac:dyDescent="0.35">
      <c r="A69" t="s">
        <v>33</v>
      </c>
      <c r="B69" s="1" t="s">
        <v>121</v>
      </c>
      <c r="C69" s="21">
        <v>87.755399999999995</v>
      </c>
      <c r="D69" s="4">
        <v>16</v>
      </c>
      <c r="E69" s="4">
        <v>513</v>
      </c>
      <c r="F69" s="21">
        <v>9473.7980000000007</v>
      </c>
      <c r="G69" s="1" t="s">
        <v>38</v>
      </c>
      <c r="H69" s="4">
        <v>12</v>
      </c>
      <c r="I69" s="4">
        <v>71</v>
      </c>
      <c r="J69">
        <v>9</v>
      </c>
      <c r="K69" s="1" t="s">
        <v>39</v>
      </c>
      <c r="L69" s="1" t="s">
        <v>29</v>
      </c>
      <c r="M69" s="4">
        <v>198</v>
      </c>
      <c r="N69">
        <v>11</v>
      </c>
      <c r="O69" s="21">
        <v>7.0579000000000001</v>
      </c>
      <c r="P69" s="1" t="s">
        <v>64</v>
      </c>
      <c r="Q69" s="3">
        <v>0.131955444311814</v>
      </c>
      <c r="R69" s="22">
        <f>Glow[[#This Row],[Defect rates]]/100</f>
        <v>1.31955444311814E-3</v>
      </c>
      <c r="S69" s="4">
        <v>9</v>
      </c>
      <c r="T69" s="1" t="s">
        <v>43</v>
      </c>
      <c r="U69" s="21">
        <v>9.1478115447106294</v>
      </c>
      <c r="V69" s="4">
        <v>10</v>
      </c>
      <c r="W69" s="1" t="s">
        <v>56</v>
      </c>
      <c r="X69" s="1" t="s">
        <v>41</v>
      </c>
      <c r="Y69" s="21">
        <v>169.27180000000001</v>
      </c>
    </row>
    <row r="70" spans="1:25" x14ac:dyDescent="0.35">
      <c r="A70" t="s">
        <v>24</v>
      </c>
      <c r="B70" s="1" t="s">
        <v>122</v>
      </c>
      <c r="C70" s="21">
        <v>37.931800000000003</v>
      </c>
      <c r="D70" s="4">
        <v>29</v>
      </c>
      <c r="E70" s="4">
        <v>163</v>
      </c>
      <c r="F70" s="21">
        <v>3550.2184000000002</v>
      </c>
      <c r="G70" s="1" t="s">
        <v>26</v>
      </c>
      <c r="H70" s="4">
        <v>0</v>
      </c>
      <c r="I70" s="4">
        <v>58</v>
      </c>
      <c r="J70">
        <v>8</v>
      </c>
      <c r="K70" s="1" t="s">
        <v>61</v>
      </c>
      <c r="L70" s="1" t="s">
        <v>53</v>
      </c>
      <c r="M70" s="4">
        <v>375</v>
      </c>
      <c r="N70">
        <v>18</v>
      </c>
      <c r="O70" s="21">
        <v>97.113600000000005</v>
      </c>
      <c r="P70" s="1" t="s">
        <v>46</v>
      </c>
      <c r="Q70" s="3">
        <v>1.9834678721741801</v>
      </c>
      <c r="R70" s="22">
        <f>Glow[[#This Row],[Defect rates]]/100</f>
        <v>1.98346787217418E-2</v>
      </c>
      <c r="S70" s="4">
        <v>8</v>
      </c>
      <c r="T70" s="1" t="s">
        <v>27</v>
      </c>
      <c r="U70" s="21">
        <v>1.19425186488499</v>
      </c>
      <c r="V70" s="4">
        <v>2</v>
      </c>
      <c r="W70" s="1" t="s">
        <v>47</v>
      </c>
      <c r="X70" s="1" t="s">
        <v>48</v>
      </c>
      <c r="Y70" s="21">
        <v>299.7063</v>
      </c>
    </row>
    <row r="71" spans="1:25" x14ac:dyDescent="0.35">
      <c r="A71" t="s">
        <v>33</v>
      </c>
      <c r="B71" s="1" t="s">
        <v>123</v>
      </c>
      <c r="C71" s="21">
        <v>54.865499999999997</v>
      </c>
      <c r="D71" s="4">
        <v>62</v>
      </c>
      <c r="E71" s="4">
        <v>511</v>
      </c>
      <c r="F71" s="21">
        <v>1752.3811000000001</v>
      </c>
      <c r="G71" s="1" t="s">
        <v>26</v>
      </c>
      <c r="H71" s="4">
        <v>95</v>
      </c>
      <c r="I71" s="4">
        <v>27</v>
      </c>
      <c r="J71">
        <v>1</v>
      </c>
      <c r="K71" s="1" t="s">
        <v>52</v>
      </c>
      <c r="L71" s="1" t="s">
        <v>45</v>
      </c>
      <c r="M71" s="4">
        <v>862</v>
      </c>
      <c r="N71">
        <v>7</v>
      </c>
      <c r="O71" s="21">
        <v>77.627799999999993</v>
      </c>
      <c r="P71" s="1" t="s">
        <v>30</v>
      </c>
      <c r="Q71" s="3">
        <v>1.3623879886490999</v>
      </c>
      <c r="R71" s="22">
        <f>Glow[[#This Row],[Defect rates]]/100</f>
        <v>1.3623879886490999E-2</v>
      </c>
      <c r="S71" s="4">
        <v>3</v>
      </c>
      <c r="T71" s="1" t="s">
        <v>27</v>
      </c>
      <c r="U71" s="21">
        <v>9.7052867901203399</v>
      </c>
      <c r="V71" s="4">
        <v>9</v>
      </c>
      <c r="W71" s="1" t="s">
        <v>40</v>
      </c>
      <c r="X71" s="1" t="s">
        <v>48</v>
      </c>
      <c r="Y71" s="21">
        <v>207.66319999999999</v>
      </c>
    </row>
    <row r="72" spans="1:25" x14ac:dyDescent="0.35">
      <c r="A72" t="s">
        <v>24</v>
      </c>
      <c r="B72" s="1" t="s">
        <v>124</v>
      </c>
      <c r="C72" s="21">
        <v>47.914499999999997</v>
      </c>
      <c r="D72" s="4">
        <v>90</v>
      </c>
      <c r="E72" s="4">
        <v>32</v>
      </c>
      <c r="F72" s="21">
        <v>7014.8879999999999</v>
      </c>
      <c r="G72" s="1" t="s">
        <v>35</v>
      </c>
      <c r="H72" s="4">
        <v>10</v>
      </c>
      <c r="I72" s="4">
        <v>22</v>
      </c>
      <c r="J72">
        <v>12</v>
      </c>
      <c r="K72" s="1" t="s">
        <v>39</v>
      </c>
      <c r="L72" s="1" t="s">
        <v>53</v>
      </c>
      <c r="M72" s="4">
        <v>775</v>
      </c>
      <c r="N72">
        <v>16</v>
      </c>
      <c r="O72" s="21">
        <v>11.440799999999999</v>
      </c>
      <c r="P72" s="1" t="s">
        <v>64</v>
      </c>
      <c r="Q72" s="3">
        <v>1.8305755986122301</v>
      </c>
      <c r="R72" s="22">
        <f>Glow[[#This Row],[Defect rates]]/100</f>
        <v>1.8305755986122302E-2</v>
      </c>
      <c r="S72" s="4">
        <v>4</v>
      </c>
      <c r="T72" s="1" t="s">
        <v>27</v>
      </c>
      <c r="U72" s="21">
        <v>6.3157177546007199</v>
      </c>
      <c r="V72" s="4">
        <v>22</v>
      </c>
      <c r="W72" s="1" t="s">
        <v>31</v>
      </c>
      <c r="X72" s="1" t="s">
        <v>41</v>
      </c>
      <c r="Y72" s="21">
        <v>183.27289999999999</v>
      </c>
    </row>
    <row r="73" spans="1:25" x14ac:dyDescent="0.35">
      <c r="A73" t="s">
        <v>57</v>
      </c>
      <c r="B73" s="1" t="s">
        <v>125</v>
      </c>
      <c r="C73" s="21">
        <v>6.3815</v>
      </c>
      <c r="D73" s="4">
        <v>14</v>
      </c>
      <c r="E73" s="4">
        <v>637</v>
      </c>
      <c r="F73" s="21">
        <v>8180.3370999999997</v>
      </c>
      <c r="G73" s="1" t="s">
        <v>35</v>
      </c>
      <c r="H73" s="4">
        <v>76</v>
      </c>
      <c r="I73" s="4">
        <v>26</v>
      </c>
      <c r="J73">
        <v>2</v>
      </c>
      <c r="K73" s="1" t="s">
        <v>61</v>
      </c>
      <c r="L73" s="1" t="s">
        <v>53</v>
      </c>
      <c r="M73" s="4">
        <v>258</v>
      </c>
      <c r="N73">
        <v>10</v>
      </c>
      <c r="O73" s="21">
        <v>30.6617</v>
      </c>
      <c r="P73" s="1" t="s">
        <v>30</v>
      </c>
      <c r="Q73" s="3">
        <v>2.07875060787496</v>
      </c>
      <c r="R73" s="22">
        <f>Glow[[#This Row],[Defect rates]]/100</f>
        <v>2.0787506078749601E-2</v>
      </c>
      <c r="S73" s="4">
        <v>6</v>
      </c>
      <c r="T73" s="1" t="s">
        <v>36</v>
      </c>
      <c r="U73" s="21">
        <v>9.2281903170525101</v>
      </c>
      <c r="V73" s="4">
        <v>2</v>
      </c>
      <c r="W73" s="1" t="s">
        <v>31</v>
      </c>
      <c r="X73" s="1" t="s">
        <v>48</v>
      </c>
      <c r="Y73" s="21">
        <v>405.1671</v>
      </c>
    </row>
    <row r="74" spans="1:25" x14ac:dyDescent="0.35">
      <c r="A74" t="s">
        <v>57</v>
      </c>
      <c r="B74" s="1" t="s">
        <v>126</v>
      </c>
      <c r="C74" s="21">
        <v>90.204400000000007</v>
      </c>
      <c r="D74" s="4">
        <v>88</v>
      </c>
      <c r="E74" s="4">
        <v>478</v>
      </c>
      <c r="F74" s="21">
        <v>2633.1219999999998</v>
      </c>
      <c r="G74" s="1" t="s">
        <v>26</v>
      </c>
      <c r="H74" s="4">
        <v>57</v>
      </c>
      <c r="I74" s="4">
        <v>77</v>
      </c>
      <c r="J74">
        <v>29</v>
      </c>
      <c r="K74" s="1" t="s">
        <v>39</v>
      </c>
      <c r="L74" s="1" t="s">
        <v>53</v>
      </c>
      <c r="M74" s="4">
        <v>152</v>
      </c>
      <c r="N74">
        <v>11</v>
      </c>
      <c r="O74" s="21">
        <v>55.7605</v>
      </c>
      <c r="P74" s="1" t="s">
        <v>30</v>
      </c>
      <c r="Q74" s="3">
        <v>3.2133296074383</v>
      </c>
      <c r="R74" s="22">
        <f>Glow[[#This Row],[Defect rates]]/100</f>
        <v>3.2133296074382998E-2</v>
      </c>
      <c r="S74" s="4">
        <v>9</v>
      </c>
      <c r="T74" s="1" t="s">
        <v>36</v>
      </c>
      <c r="U74" s="21">
        <v>6.5996141596895397</v>
      </c>
      <c r="V74" s="4">
        <v>21</v>
      </c>
      <c r="W74" s="1" t="s">
        <v>47</v>
      </c>
      <c r="X74" s="1" t="s">
        <v>32</v>
      </c>
      <c r="Y74" s="21">
        <v>677.94460000000004</v>
      </c>
    </row>
    <row r="75" spans="1:25" x14ac:dyDescent="0.35">
      <c r="A75" t="s">
        <v>57</v>
      </c>
      <c r="B75" s="1" t="s">
        <v>127</v>
      </c>
      <c r="C75" s="21">
        <v>83.850999999999999</v>
      </c>
      <c r="D75" s="4">
        <v>41</v>
      </c>
      <c r="E75" s="4">
        <v>375</v>
      </c>
      <c r="F75" s="21">
        <v>7910.8869000000004</v>
      </c>
      <c r="G75" s="1" t="s">
        <v>55</v>
      </c>
      <c r="H75" s="4">
        <v>17</v>
      </c>
      <c r="I75" s="4">
        <v>66</v>
      </c>
      <c r="J75">
        <v>25</v>
      </c>
      <c r="K75" s="1" t="s">
        <v>52</v>
      </c>
      <c r="L75" s="1" t="s">
        <v>62</v>
      </c>
      <c r="M75" s="4">
        <v>444</v>
      </c>
      <c r="N75">
        <v>4</v>
      </c>
      <c r="O75" s="21">
        <v>46.870199999999997</v>
      </c>
      <c r="P75" s="1" t="s">
        <v>46</v>
      </c>
      <c r="Q75" s="3">
        <v>4.6205460645137002</v>
      </c>
      <c r="R75" s="22">
        <f>Glow[[#This Row],[Defect rates]]/100</f>
        <v>4.6205460645137003E-2</v>
      </c>
      <c r="S75" s="4">
        <v>5</v>
      </c>
      <c r="T75" s="1" t="s">
        <v>27</v>
      </c>
      <c r="U75" s="21">
        <v>1.5129368369160701</v>
      </c>
      <c r="V75" s="4">
        <v>13</v>
      </c>
      <c r="W75" s="1" t="s">
        <v>31</v>
      </c>
      <c r="X75" s="1" t="s">
        <v>48</v>
      </c>
      <c r="Y75" s="21">
        <v>866.47280000000001</v>
      </c>
    </row>
    <row r="76" spans="1:25" x14ac:dyDescent="0.35">
      <c r="A76" t="s">
        <v>24</v>
      </c>
      <c r="B76" s="1" t="s">
        <v>128</v>
      </c>
      <c r="C76" s="21">
        <v>3.17</v>
      </c>
      <c r="D76" s="4">
        <v>64</v>
      </c>
      <c r="E76" s="4">
        <v>904</v>
      </c>
      <c r="F76" s="21">
        <v>5709.9453000000003</v>
      </c>
      <c r="G76" s="1" t="s">
        <v>35</v>
      </c>
      <c r="H76" s="4">
        <v>41</v>
      </c>
      <c r="I76" s="4">
        <v>1</v>
      </c>
      <c r="J76">
        <v>6</v>
      </c>
      <c r="K76" s="1" t="s">
        <v>52</v>
      </c>
      <c r="L76" s="1" t="s">
        <v>50</v>
      </c>
      <c r="M76" s="4">
        <v>919</v>
      </c>
      <c r="N76">
        <v>9</v>
      </c>
      <c r="O76" s="21">
        <v>80.5809</v>
      </c>
      <c r="P76" s="1" t="s">
        <v>46</v>
      </c>
      <c r="Q76" s="3">
        <v>0.39661272410993498</v>
      </c>
      <c r="R76" s="22">
        <f>Glow[[#This Row],[Defect rates]]/100</f>
        <v>3.9661272410993495E-3</v>
      </c>
      <c r="S76" s="4">
        <v>5</v>
      </c>
      <c r="T76" s="1" t="s">
        <v>36</v>
      </c>
      <c r="U76" s="21">
        <v>5.2376546500374399</v>
      </c>
      <c r="V76" s="4">
        <v>1</v>
      </c>
      <c r="W76" s="1" t="s">
        <v>47</v>
      </c>
      <c r="X76" s="1" t="s">
        <v>48</v>
      </c>
      <c r="Y76" s="21">
        <v>341.55270000000002</v>
      </c>
    </row>
    <row r="77" spans="1:25" x14ac:dyDescent="0.35">
      <c r="A77" t="s">
        <v>33</v>
      </c>
      <c r="B77" s="1" t="s">
        <v>129</v>
      </c>
      <c r="C77" s="21">
        <v>92.996899999999997</v>
      </c>
      <c r="D77" s="4">
        <v>29</v>
      </c>
      <c r="E77" s="4">
        <v>106</v>
      </c>
      <c r="F77" s="21">
        <v>1889.0735999999999</v>
      </c>
      <c r="G77" s="1" t="s">
        <v>26</v>
      </c>
      <c r="H77" s="4">
        <v>16</v>
      </c>
      <c r="I77" s="4">
        <v>56</v>
      </c>
      <c r="J77">
        <v>20</v>
      </c>
      <c r="K77" s="1" t="s">
        <v>39</v>
      </c>
      <c r="L77" s="1" t="s">
        <v>62</v>
      </c>
      <c r="M77" s="4">
        <v>759</v>
      </c>
      <c r="N77">
        <v>11</v>
      </c>
      <c r="O77" s="21">
        <v>48.064799999999998</v>
      </c>
      <c r="P77" s="1" t="s">
        <v>64</v>
      </c>
      <c r="Q77" s="3">
        <v>2.0300690886687498</v>
      </c>
      <c r="R77" s="22">
        <f>Glow[[#This Row],[Defect rates]]/100</f>
        <v>2.0300690886687497E-2</v>
      </c>
      <c r="S77" s="4">
        <v>10</v>
      </c>
      <c r="T77" s="1" t="s">
        <v>43</v>
      </c>
      <c r="U77" s="21">
        <v>2.47389776104546</v>
      </c>
      <c r="V77" s="4">
        <v>25</v>
      </c>
      <c r="W77" s="1" t="s">
        <v>40</v>
      </c>
      <c r="X77" s="1" t="s">
        <v>41</v>
      </c>
      <c r="Y77" s="21">
        <v>873.12959999999998</v>
      </c>
    </row>
    <row r="78" spans="1:25" x14ac:dyDescent="0.35">
      <c r="A78" t="s">
        <v>24</v>
      </c>
      <c r="B78" s="1" t="s">
        <v>130</v>
      </c>
      <c r="C78" s="21">
        <v>69.108800000000002</v>
      </c>
      <c r="D78" s="4">
        <v>23</v>
      </c>
      <c r="E78" s="4">
        <v>241</v>
      </c>
      <c r="F78" s="21">
        <v>5328.3760000000002</v>
      </c>
      <c r="G78" s="1" t="s">
        <v>55</v>
      </c>
      <c r="H78" s="4">
        <v>38</v>
      </c>
      <c r="I78" s="4">
        <v>22</v>
      </c>
      <c r="J78">
        <v>1</v>
      </c>
      <c r="K78" s="1" t="s">
        <v>61</v>
      </c>
      <c r="L78" s="1" t="s">
        <v>53</v>
      </c>
      <c r="M78" s="4">
        <v>985</v>
      </c>
      <c r="N78">
        <v>24</v>
      </c>
      <c r="O78" s="21">
        <v>64.323599999999999</v>
      </c>
      <c r="P78" s="1" t="s">
        <v>30</v>
      </c>
      <c r="Q78" s="3">
        <v>2.1800374515822099</v>
      </c>
      <c r="R78" s="22">
        <f>Glow[[#This Row],[Defect rates]]/100</f>
        <v>2.1800374515822098E-2</v>
      </c>
      <c r="S78" s="4">
        <v>10</v>
      </c>
      <c r="T78" s="1" t="s">
        <v>36</v>
      </c>
      <c r="U78" s="21">
        <v>7.0545383368369201</v>
      </c>
      <c r="V78" s="4">
        <v>25</v>
      </c>
      <c r="W78" s="1" t="s">
        <v>47</v>
      </c>
      <c r="X78" s="1" t="s">
        <v>48</v>
      </c>
      <c r="Y78" s="21">
        <v>997.4135</v>
      </c>
    </row>
    <row r="79" spans="1:25" x14ac:dyDescent="0.35">
      <c r="A79" t="s">
        <v>24</v>
      </c>
      <c r="B79" s="1" t="s">
        <v>131</v>
      </c>
      <c r="C79" s="21">
        <v>57.4497</v>
      </c>
      <c r="D79" s="4">
        <v>14</v>
      </c>
      <c r="E79" s="4">
        <v>359</v>
      </c>
      <c r="F79" s="21">
        <v>2483.7602000000002</v>
      </c>
      <c r="G79" s="1" t="s">
        <v>38</v>
      </c>
      <c r="H79" s="4">
        <v>96</v>
      </c>
      <c r="I79" s="4">
        <v>57</v>
      </c>
      <c r="J79">
        <v>28</v>
      </c>
      <c r="K79" s="1" t="s">
        <v>39</v>
      </c>
      <c r="L79" s="1" t="s">
        <v>45</v>
      </c>
      <c r="M79" s="4">
        <v>334</v>
      </c>
      <c r="N79">
        <v>5</v>
      </c>
      <c r="O79" s="21">
        <v>42.952399999999997</v>
      </c>
      <c r="P79" s="1" t="s">
        <v>64</v>
      </c>
      <c r="Q79" s="3">
        <v>3.0551418183075398</v>
      </c>
      <c r="R79" s="22">
        <f>Glow[[#This Row],[Defect rates]]/100</f>
        <v>3.0551418183075399E-2</v>
      </c>
      <c r="S79" s="4">
        <v>4</v>
      </c>
      <c r="T79" s="1" t="s">
        <v>27</v>
      </c>
      <c r="U79" s="21">
        <v>6.7809466256178901</v>
      </c>
      <c r="V79" s="4">
        <v>26</v>
      </c>
      <c r="W79" s="1" t="s">
        <v>31</v>
      </c>
      <c r="X79" s="1" t="s">
        <v>32</v>
      </c>
      <c r="Y79" s="21">
        <v>852.56809999999996</v>
      </c>
    </row>
    <row r="80" spans="1:25" x14ac:dyDescent="0.35">
      <c r="A80" t="s">
        <v>24</v>
      </c>
      <c r="B80" s="1" t="s">
        <v>132</v>
      </c>
      <c r="C80" s="21">
        <v>6.3068999999999997</v>
      </c>
      <c r="D80" s="4">
        <v>50</v>
      </c>
      <c r="E80" s="4">
        <v>946</v>
      </c>
      <c r="F80" s="21">
        <v>1292.4584</v>
      </c>
      <c r="G80" s="1" t="s">
        <v>38</v>
      </c>
      <c r="H80" s="4">
        <v>5</v>
      </c>
      <c r="I80" s="4">
        <v>51</v>
      </c>
      <c r="J80">
        <v>4</v>
      </c>
      <c r="K80" s="1" t="s">
        <v>44</v>
      </c>
      <c r="L80" s="1" t="s">
        <v>29</v>
      </c>
      <c r="M80" s="4">
        <v>858</v>
      </c>
      <c r="N80">
        <v>21</v>
      </c>
      <c r="O80" s="21">
        <v>71.126499999999993</v>
      </c>
      <c r="P80" s="1" t="s">
        <v>30</v>
      </c>
      <c r="Q80" s="3">
        <v>4.0968813324704501</v>
      </c>
      <c r="R80" s="22">
        <f>Glow[[#This Row],[Defect rates]]/100</f>
        <v>4.0968813324704499E-2</v>
      </c>
      <c r="S80" s="4">
        <v>5</v>
      </c>
      <c r="T80" s="1" t="s">
        <v>27</v>
      </c>
      <c r="U80" s="21">
        <v>8.4670497708619905</v>
      </c>
      <c r="V80" s="4">
        <v>25</v>
      </c>
      <c r="W80" s="1" t="s">
        <v>56</v>
      </c>
      <c r="X80" s="1" t="s">
        <v>41</v>
      </c>
      <c r="Y80" s="21">
        <v>323.59219999999999</v>
      </c>
    </row>
    <row r="81" spans="1:25" x14ac:dyDescent="0.35">
      <c r="A81" t="s">
        <v>24</v>
      </c>
      <c r="B81" s="1" t="s">
        <v>133</v>
      </c>
      <c r="C81" s="21">
        <v>57.057000000000002</v>
      </c>
      <c r="D81" s="4">
        <v>56</v>
      </c>
      <c r="E81" s="4">
        <v>198</v>
      </c>
      <c r="F81" s="21">
        <v>7888.7232999999997</v>
      </c>
      <c r="G81" s="1" t="s">
        <v>26</v>
      </c>
      <c r="H81" s="4">
        <v>31</v>
      </c>
      <c r="I81" s="4">
        <v>20</v>
      </c>
      <c r="J81">
        <v>25</v>
      </c>
      <c r="K81" s="1" t="s">
        <v>28</v>
      </c>
      <c r="L81" s="1" t="s">
        <v>53</v>
      </c>
      <c r="M81" s="4">
        <v>228</v>
      </c>
      <c r="N81">
        <v>12</v>
      </c>
      <c r="O81" s="21">
        <v>57.870899999999999</v>
      </c>
      <c r="P81" s="1" t="s">
        <v>30</v>
      </c>
      <c r="Q81" s="3">
        <v>0.16587162748060799</v>
      </c>
      <c r="R81" s="22">
        <f>Glow[[#This Row],[Defect rates]]/100</f>
        <v>1.65871627480608E-3</v>
      </c>
      <c r="S81" s="4">
        <v>1</v>
      </c>
      <c r="T81" s="1" t="s">
        <v>27</v>
      </c>
      <c r="U81" s="21">
        <v>6.49632536429504</v>
      </c>
      <c r="V81" s="4">
        <v>5</v>
      </c>
      <c r="W81" s="1" t="s">
        <v>40</v>
      </c>
      <c r="X81" s="1" t="s">
        <v>41</v>
      </c>
      <c r="Y81" s="21">
        <v>351.50420000000003</v>
      </c>
    </row>
    <row r="82" spans="1:25" x14ac:dyDescent="0.35">
      <c r="A82" t="s">
        <v>33</v>
      </c>
      <c r="B82" s="1" t="s">
        <v>134</v>
      </c>
      <c r="C82" s="21">
        <v>91.128299999999996</v>
      </c>
      <c r="D82" s="4">
        <v>75</v>
      </c>
      <c r="E82" s="4">
        <v>872</v>
      </c>
      <c r="F82" s="21">
        <v>8651.6726999999992</v>
      </c>
      <c r="G82" s="1" t="s">
        <v>38</v>
      </c>
      <c r="H82" s="4">
        <v>39</v>
      </c>
      <c r="I82" s="4">
        <v>41</v>
      </c>
      <c r="J82">
        <v>14</v>
      </c>
      <c r="K82" s="1" t="s">
        <v>28</v>
      </c>
      <c r="L82" s="1" t="s">
        <v>62</v>
      </c>
      <c r="M82" s="4">
        <v>202</v>
      </c>
      <c r="N82">
        <v>5</v>
      </c>
      <c r="O82" s="21">
        <v>76.961200000000005</v>
      </c>
      <c r="P82" s="1" t="s">
        <v>46</v>
      </c>
      <c r="Q82" s="3">
        <v>2.8496621985053299</v>
      </c>
      <c r="R82" s="22">
        <f>Glow[[#This Row],[Defect rates]]/100</f>
        <v>2.8496621985053299E-2</v>
      </c>
      <c r="S82" s="4">
        <v>2</v>
      </c>
      <c r="T82" s="1" t="s">
        <v>43</v>
      </c>
      <c r="U82" s="21">
        <v>2.8331846794189701</v>
      </c>
      <c r="V82" s="4">
        <v>8</v>
      </c>
      <c r="W82" s="1" t="s">
        <v>56</v>
      </c>
      <c r="X82" s="1" t="s">
        <v>32</v>
      </c>
      <c r="Y82" s="21">
        <v>787.7799</v>
      </c>
    </row>
    <row r="83" spans="1:25" x14ac:dyDescent="0.35">
      <c r="A83" t="s">
        <v>24</v>
      </c>
      <c r="B83" s="1" t="s">
        <v>135</v>
      </c>
      <c r="C83" s="21">
        <v>72.819199999999995</v>
      </c>
      <c r="D83" s="4">
        <v>9</v>
      </c>
      <c r="E83" s="4">
        <v>774</v>
      </c>
      <c r="F83" s="21">
        <v>4384.4134000000004</v>
      </c>
      <c r="G83" s="1" t="s">
        <v>38</v>
      </c>
      <c r="H83" s="4">
        <v>48</v>
      </c>
      <c r="I83" s="4">
        <v>8</v>
      </c>
      <c r="J83">
        <v>6</v>
      </c>
      <c r="K83" s="1" t="s">
        <v>28</v>
      </c>
      <c r="L83" s="1" t="s">
        <v>50</v>
      </c>
      <c r="M83" s="4">
        <v>698</v>
      </c>
      <c r="N83">
        <v>1</v>
      </c>
      <c r="O83" s="21">
        <v>19.7896</v>
      </c>
      <c r="P83" s="1" t="s">
        <v>30</v>
      </c>
      <c r="Q83" s="3">
        <v>2.54754712154871</v>
      </c>
      <c r="R83" s="22">
        <f>Glow[[#This Row],[Defect rates]]/100</f>
        <v>2.54754712154871E-2</v>
      </c>
      <c r="S83" s="4">
        <v>5</v>
      </c>
      <c r="T83" s="1" t="s">
        <v>27</v>
      </c>
      <c r="U83" s="21">
        <v>4.0662775015120403</v>
      </c>
      <c r="V83" s="4">
        <v>28</v>
      </c>
      <c r="W83" s="1" t="s">
        <v>47</v>
      </c>
      <c r="X83" s="1" t="s">
        <v>32</v>
      </c>
      <c r="Y83" s="21">
        <v>276.7783</v>
      </c>
    </row>
    <row r="84" spans="1:25" x14ac:dyDescent="0.35">
      <c r="A84" t="s">
        <v>33</v>
      </c>
      <c r="B84" s="1" t="s">
        <v>136</v>
      </c>
      <c r="C84" s="21">
        <v>17.0349</v>
      </c>
      <c r="D84" s="4">
        <v>13</v>
      </c>
      <c r="E84" s="4">
        <v>336</v>
      </c>
      <c r="F84" s="21">
        <v>2943.3818999999999</v>
      </c>
      <c r="G84" s="1" t="s">
        <v>38</v>
      </c>
      <c r="H84" s="4">
        <v>42</v>
      </c>
      <c r="I84" s="4">
        <v>72</v>
      </c>
      <c r="J84">
        <v>19</v>
      </c>
      <c r="K84" s="1" t="s">
        <v>61</v>
      </c>
      <c r="L84" s="1" t="s">
        <v>29</v>
      </c>
      <c r="M84" s="4">
        <v>955</v>
      </c>
      <c r="N84">
        <v>26</v>
      </c>
      <c r="O84" s="21">
        <v>4.4653</v>
      </c>
      <c r="P84" s="1" t="s">
        <v>30</v>
      </c>
      <c r="Q84" s="3">
        <v>4.1378770486223502</v>
      </c>
      <c r="R84" s="22">
        <f>Glow[[#This Row],[Defect rates]]/100</f>
        <v>4.1378770486223501E-2</v>
      </c>
      <c r="S84" s="4">
        <v>1</v>
      </c>
      <c r="T84" s="1" t="s">
        <v>36</v>
      </c>
      <c r="U84" s="21">
        <v>4.7081818735419301</v>
      </c>
      <c r="V84" s="4">
        <v>6</v>
      </c>
      <c r="W84" s="1" t="s">
        <v>31</v>
      </c>
      <c r="X84" s="1" t="s">
        <v>41</v>
      </c>
      <c r="Y84" s="21">
        <v>589.97860000000003</v>
      </c>
    </row>
    <row r="85" spans="1:25" x14ac:dyDescent="0.35">
      <c r="A85" t="s">
        <v>24</v>
      </c>
      <c r="B85" s="1" t="s">
        <v>137</v>
      </c>
      <c r="C85" s="21">
        <v>68.911199999999994</v>
      </c>
      <c r="D85" s="4">
        <v>82</v>
      </c>
      <c r="E85" s="4">
        <v>663</v>
      </c>
      <c r="F85" s="21">
        <v>2411.7546000000002</v>
      </c>
      <c r="G85" s="1" t="s">
        <v>38</v>
      </c>
      <c r="H85" s="4">
        <v>65</v>
      </c>
      <c r="I85" s="4">
        <v>7</v>
      </c>
      <c r="J85">
        <v>24</v>
      </c>
      <c r="K85" s="1" t="s">
        <v>39</v>
      </c>
      <c r="L85" s="1" t="s">
        <v>53</v>
      </c>
      <c r="M85" s="4">
        <v>443</v>
      </c>
      <c r="N85">
        <v>5</v>
      </c>
      <c r="O85" s="21">
        <v>97.730599999999995</v>
      </c>
      <c r="P85" s="1" t="s">
        <v>46</v>
      </c>
      <c r="Q85" s="3">
        <v>0.77300613406724705</v>
      </c>
      <c r="R85" s="22">
        <f>Glow[[#This Row],[Defect rates]]/100</f>
        <v>7.7300613406724701E-3</v>
      </c>
      <c r="S85" s="4">
        <v>8</v>
      </c>
      <c r="T85" s="1" t="s">
        <v>27</v>
      </c>
      <c r="U85" s="21">
        <v>4.94983957799694</v>
      </c>
      <c r="V85" s="4">
        <v>20</v>
      </c>
      <c r="W85" s="1" t="s">
        <v>31</v>
      </c>
      <c r="X85" s="1" t="s">
        <v>48</v>
      </c>
      <c r="Y85" s="21">
        <v>682.971</v>
      </c>
    </row>
    <row r="86" spans="1:25" x14ac:dyDescent="0.35">
      <c r="A86" t="s">
        <v>24</v>
      </c>
      <c r="B86" s="1" t="s">
        <v>138</v>
      </c>
      <c r="C86" s="21">
        <v>89.104399999999998</v>
      </c>
      <c r="D86" s="4">
        <v>99</v>
      </c>
      <c r="E86" s="4">
        <v>618</v>
      </c>
      <c r="F86" s="21">
        <v>2048.2901000000002</v>
      </c>
      <c r="G86" s="1" t="s">
        <v>38</v>
      </c>
      <c r="H86" s="4">
        <v>73</v>
      </c>
      <c r="I86" s="4">
        <v>80</v>
      </c>
      <c r="J86">
        <v>26</v>
      </c>
      <c r="K86" s="1" t="s">
        <v>44</v>
      </c>
      <c r="L86" s="1" t="s">
        <v>62</v>
      </c>
      <c r="M86" s="4">
        <v>589</v>
      </c>
      <c r="N86">
        <v>22</v>
      </c>
      <c r="O86" s="21">
        <v>33.808599999999998</v>
      </c>
      <c r="P86" s="1" t="s">
        <v>64</v>
      </c>
      <c r="Q86" s="3">
        <v>4.8434565771180402</v>
      </c>
      <c r="R86" s="22">
        <f>Glow[[#This Row],[Defect rates]]/100</f>
        <v>4.8434565771180403E-2</v>
      </c>
      <c r="S86" s="4">
        <v>10</v>
      </c>
      <c r="T86" s="1" t="s">
        <v>36</v>
      </c>
      <c r="U86" s="21">
        <v>8.3816156249226292</v>
      </c>
      <c r="V86" s="4">
        <v>24</v>
      </c>
      <c r="W86" s="1" t="s">
        <v>40</v>
      </c>
      <c r="X86" s="1" t="s">
        <v>32</v>
      </c>
      <c r="Y86" s="21">
        <v>465.45699999999999</v>
      </c>
    </row>
    <row r="87" spans="1:25" x14ac:dyDescent="0.35">
      <c r="A87" t="s">
        <v>57</v>
      </c>
      <c r="B87" s="1" t="s">
        <v>139</v>
      </c>
      <c r="C87" s="21">
        <v>76.962999999999994</v>
      </c>
      <c r="D87" s="4">
        <v>83</v>
      </c>
      <c r="E87" s="4">
        <v>25</v>
      </c>
      <c r="F87" s="21">
        <v>8684.6131000000005</v>
      </c>
      <c r="G87" s="1" t="s">
        <v>35</v>
      </c>
      <c r="H87" s="4">
        <v>15</v>
      </c>
      <c r="I87" s="4">
        <v>66</v>
      </c>
      <c r="J87">
        <v>18</v>
      </c>
      <c r="K87" s="1" t="s">
        <v>44</v>
      </c>
      <c r="L87" s="1" t="s">
        <v>62</v>
      </c>
      <c r="M87" s="4">
        <v>211</v>
      </c>
      <c r="N87">
        <v>2</v>
      </c>
      <c r="O87" s="21">
        <v>69.929299999999998</v>
      </c>
      <c r="P87" s="1" t="s">
        <v>46</v>
      </c>
      <c r="Q87" s="3">
        <v>1.3744289997457499</v>
      </c>
      <c r="R87" s="22">
        <f>Glow[[#This Row],[Defect rates]]/100</f>
        <v>1.37442899974575E-2</v>
      </c>
      <c r="S87" s="4">
        <v>2</v>
      </c>
      <c r="T87" s="1" t="s">
        <v>43</v>
      </c>
      <c r="U87" s="21">
        <v>8.2491687048717193</v>
      </c>
      <c r="V87" s="4">
        <v>4</v>
      </c>
      <c r="W87" s="1" t="s">
        <v>31</v>
      </c>
      <c r="X87" s="1" t="s">
        <v>32</v>
      </c>
      <c r="Y87" s="21">
        <v>842.68679999999995</v>
      </c>
    </row>
    <row r="88" spans="1:25" x14ac:dyDescent="0.35">
      <c r="A88" t="s">
        <v>33</v>
      </c>
      <c r="B88" s="1" t="s">
        <v>140</v>
      </c>
      <c r="C88" s="21">
        <v>19.998200000000001</v>
      </c>
      <c r="D88" s="4">
        <v>18</v>
      </c>
      <c r="E88" s="4">
        <v>223</v>
      </c>
      <c r="F88" s="21">
        <v>1229.5909999999999</v>
      </c>
      <c r="G88" s="1" t="s">
        <v>38</v>
      </c>
      <c r="H88" s="4">
        <v>32</v>
      </c>
      <c r="I88" s="4">
        <v>22</v>
      </c>
      <c r="J88">
        <v>14</v>
      </c>
      <c r="K88" s="1" t="s">
        <v>39</v>
      </c>
      <c r="L88" s="1" t="s">
        <v>29</v>
      </c>
      <c r="M88" s="4">
        <v>569</v>
      </c>
      <c r="N88">
        <v>18</v>
      </c>
      <c r="O88" s="21">
        <v>74.608999999999995</v>
      </c>
      <c r="P88" s="1" t="s">
        <v>64</v>
      </c>
      <c r="Q88" s="3">
        <v>2.0515129307662399</v>
      </c>
      <c r="R88" s="22">
        <f>Glow[[#This Row],[Defect rates]]/100</f>
        <v>2.0515129307662399E-2</v>
      </c>
      <c r="S88" s="4">
        <v>6</v>
      </c>
      <c r="T88" s="1" t="s">
        <v>27</v>
      </c>
      <c r="U88" s="21">
        <v>1.4543053101535499</v>
      </c>
      <c r="V88" s="4">
        <v>4</v>
      </c>
      <c r="W88" s="1" t="s">
        <v>47</v>
      </c>
      <c r="X88" s="1" t="s">
        <v>48</v>
      </c>
      <c r="Y88" s="21">
        <v>264.25490000000002</v>
      </c>
    </row>
    <row r="89" spans="1:25" x14ac:dyDescent="0.35">
      <c r="A89" t="s">
        <v>24</v>
      </c>
      <c r="B89" s="1" t="s">
        <v>141</v>
      </c>
      <c r="C89" s="21">
        <v>80.414000000000001</v>
      </c>
      <c r="D89" s="4">
        <v>24</v>
      </c>
      <c r="E89" s="4">
        <v>79</v>
      </c>
      <c r="F89" s="21">
        <v>5133.8467000000001</v>
      </c>
      <c r="G89" s="1" t="s">
        <v>55</v>
      </c>
      <c r="H89" s="4">
        <v>5</v>
      </c>
      <c r="I89" s="4">
        <v>55</v>
      </c>
      <c r="J89">
        <v>7</v>
      </c>
      <c r="K89" s="1" t="s">
        <v>28</v>
      </c>
      <c r="L89" s="1" t="s">
        <v>62</v>
      </c>
      <c r="M89" s="4">
        <v>523</v>
      </c>
      <c r="N89">
        <v>17</v>
      </c>
      <c r="O89" s="21">
        <v>28.696999999999999</v>
      </c>
      <c r="P89" s="1" t="s">
        <v>46</v>
      </c>
      <c r="Q89" s="3">
        <v>3.6937377878392699</v>
      </c>
      <c r="R89" s="22">
        <f>Glow[[#This Row],[Defect rates]]/100</f>
        <v>3.6937377878392699E-2</v>
      </c>
      <c r="S89" s="4">
        <v>10</v>
      </c>
      <c r="T89" s="1" t="s">
        <v>36</v>
      </c>
      <c r="U89" s="21">
        <v>6.5758037975485299</v>
      </c>
      <c r="V89" s="4">
        <v>27</v>
      </c>
      <c r="W89" s="1" t="s">
        <v>56</v>
      </c>
      <c r="X89" s="1" t="s">
        <v>32</v>
      </c>
      <c r="Y89" s="21">
        <v>879.35919999999999</v>
      </c>
    </row>
    <row r="90" spans="1:25" x14ac:dyDescent="0.35">
      <c r="A90" t="s">
        <v>57</v>
      </c>
      <c r="B90" s="1" t="s">
        <v>142</v>
      </c>
      <c r="C90" s="21">
        <v>75.270399999999995</v>
      </c>
      <c r="D90" s="4">
        <v>58</v>
      </c>
      <c r="E90" s="4">
        <v>737</v>
      </c>
      <c r="F90" s="21">
        <v>9444.7420000000002</v>
      </c>
      <c r="G90" s="1" t="s">
        <v>55</v>
      </c>
      <c r="H90" s="4">
        <v>60</v>
      </c>
      <c r="I90" s="4">
        <v>85</v>
      </c>
      <c r="J90">
        <v>18</v>
      </c>
      <c r="K90" s="1" t="s">
        <v>61</v>
      </c>
      <c r="L90" s="1" t="s">
        <v>29</v>
      </c>
      <c r="M90" s="4">
        <v>953</v>
      </c>
      <c r="N90">
        <v>11</v>
      </c>
      <c r="O90" s="21">
        <v>68.184899999999999</v>
      </c>
      <c r="P90" s="1" t="s">
        <v>30</v>
      </c>
      <c r="Q90" s="3">
        <v>0.722204401882931</v>
      </c>
      <c r="R90" s="22">
        <f>Glow[[#This Row],[Defect rates]]/100</f>
        <v>7.22204401882931E-3</v>
      </c>
      <c r="S90" s="4">
        <v>7</v>
      </c>
      <c r="T90" s="1" t="s">
        <v>36</v>
      </c>
      <c r="U90" s="21">
        <v>3.8012531329310701</v>
      </c>
      <c r="V90" s="4">
        <v>21</v>
      </c>
      <c r="W90" s="1" t="s">
        <v>56</v>
      </c>
      <c r="X90" s="1" t="s">
        <v>48</v>
      </c>
      <c r="Y90" s="21">
        <v>103.9162</v>
      </c>
    </row>
    <row r="91" spans="1:25" x14ac:dyDescent="0.35">
      <c r="A91" t="s">
        <v>57</v>
      </c>
      <c r="B91" s="1" t="s">
        <v>143</v>
      </c>
      <c r="C91" s="21">
        <v>97.760099999999994</v>
      </c>
      <c r="D91" s="4">
        <v>10</v>
      </c>
      <c r="E91" s="4">
        <v>134</v>
      </c>
      <c r="F91" s="21">
        <v>5924.6826000000001</v>
      </c>
      <c r="G91" s="1" t="s">
        <v>38</v>
      </c>
      <c r="H91" s="4">
        <v>90</v>
      </c>
      <c r="I91" s="4">
        <v>27</v>
      </c>
      <c r="J91">
        <v>1</v>
      </c>
      <c r="K91" s="1" t="s">
        <v>39</v>
      </c>
      <c r="L91" s="1" t="s">
        <v>45</v>
      </c>
      <c r="M91" s="4">
        <v>370</v>
      </c>
      <c r="N91">
        <v>11</v>
      </c>
      <c r="O91" s="21">
        <v>46.603900000000003</v>
      </c>
      <c r="P91" s="1" t="s">
        <v>30</v>
      </c>
      <c r="Q91" s="3">
        <v>1.9076657339590699</v>
      </c>
      <c r="R91" s="22">
        <f>Glow[[#This Row],[Defect rates]]/100</f>
        <v>1.90766573395907E-2</v>
      </c>
      <c r="S91" s="4">
        <v>8</v>
      </c>
      <c r="T91" s="1" t="s">
        <v>27</v>
      </c>
      <c r="U91" s="21">
        <v>9.9298162452772498</v>
      </c>
      <c r="V91" s="4">
        <v>23</v>
      </c>
      <c r="W91" s="1" t="s">
        <v>47</v>
      </c>
      <c r="X91" s="1" t="s">
        <v>32</v>
      </c>
      <c r="Y91" s="21">
        <v>517.5</v>
      </c>
    </row>
    <row r="92" spans="1:25" x14ac:dyDescent="0.35">
      <c r="A92" t="s">
        <v>33</v>
      </c>
      <c r="B92" s="1" t="s">
        <v>144</v>
      </c>
      <c r="C92" s="21">
        <v>13.8819</v>
      </c>
      <c r="D92" s="4">
        <v>56</v>
      </c>
      <c r="E92" s="4">
        <v>320</v>
      </c>
      <c r="F92" s="21">
        <v>9592.6335999999992</v>
      </c>
      <c r="G92" s="1" t="s">
        <v>26</v>
      </c>
      <c r="H92" s="4">
        <v>66</v>
      </c>
      <c r="I92" s="4">
        <v>96</v>
      </c>
      <c r="J92">
        <v>18</v>
      </c>
      <c r="K92" s="1" t="s">
        <v>28</v>
      </c>
      <c r="L92" s="1" t="s">
        <v>53</v>
      </c>
      <c r="M92" s="4">
        <v>585</v>
      </c>
      <c r="N92">
        <v>8</v>
      </c>
      <c r="O92" s="21">
        <v>85.676000000000002</v>
      </c>
      <c r="P92" s="1" t="s">
        <v>64</v>
      </c>
      <c r="Q92" s="3">
        <v>1.2193822244013801</v>
      </c>
      <c r="R92" s="22">
        <f>Glow[[#This Row],[Defect rates]]/100</f>
        <v>1.21938222440138E-2</v>
      </c>
      <c r="S92" s="4">
        <v>7</v>
      </c>
      <c r="T92" s="1" t="s">
        <v>27</v>
      </c>
      <c r="U92" s="21">
        <v>7.6744307081126903</v>
      </c>
      <c r="V92" s="4">
        <v>8</v>
      </c>
      <c r="W92" s="1" t="s">
        <v>47</v>
      </c>
      <c r="X92" s="1" t="s">
        <v>32</v>
      </c>
      <c r="Y92" s="21">
        <v>990.07849999999996</v>
      </c>
    </row>
    <row r="93" spans="1:25" x14ac:dyDescent="0.35">
      <c r="A93" t="s">
        <v>57</v>
      </c>
      <c r="B93" s="1" t="s">
        <v>145</v>
      </c>
      <c r="C93" s="21">
        <v>62.112000000000002</v>
      </c>
      <c r="D93" s="4">
        <v>90</v>
      </c>
      <c r="E93" s="4">
        <v>916</v>
      </c>
      <c r="F93" s="21">
        <v>1935.2067999999999</v>
      </c>
      <c r="G93" s="1" t="s">
        <v>55</v>
      </c>
      <c r="H93" s="4">
        <v>98</v>
      </c>
      <c r="I93" s="4">
        <v>85</v>
      </c>
      <c r="J93">
        <v>22</v>
      </c>
      <c r="K93" s="1" t="s">
        <v>52</v>
      </c>
      <c r="L93" s="1" t="s">
        <v>50</v>
      </c>
      <c r="M93" s="4">
        <v>207</v>
      </c>
      <c r="N93">
        <v>28</v>
      </c>
      <c r="O93" s="21">
        <v>39.7729</v>
      </c>
      <c r="P93" s="1" t="s">
        <v>30</v>
      </c>
      <c r="Q93" s="3">
        <v>0.62600185820939402</v>
      </c>
      <c r="R93" s="22">
        <f>Glow[[#This Row],[Defect rates]]/100</f>
        <v>6.2600185820939399E-3</v>
      </c>
      <c r="S93" s="4">
        <v>7</v>
      </c>
      <c r="T93" s="1" t="s">
        <v>27</v>
      </c>
      <c r="U93" s="21">
        <v>7.4715140844011403</v>
      </c>
      <c r="V93" s="4">
        <v>5</v>
      </c>
      <c r="W93" s="1" t="s">
        <v>47</v>
      </c>
      <c r="X93" s="1" t="s">
        <v>32</v>
      </c>
      <c r="Y93" s="21">
        <v>996.77829999999994</v>
      </c>
    </row>
    <row r="94" spans="1:25" x14ac:dyDescent="0.35">
      <c r="A94" t="s">
        <v>57</v>
      </c>
      <c r="B94" s="1" t="s">
        <v>146</v>
      </c>
      <c r="C94" s="21">
        <v>47.714199999999998</v>
      </c>
      <c r="D94" s="4">
        <v>44</v>
      </c>
      <c r="E94" s="4">
        <v>276</v>
      </c>
      <c r="F94" s="21">
        <v>2100.1298000000002</v>
      </c>
      <c r="G94" s="1" t="s">
        <v>55</v>
      </c>
      <c r="H94" s="4">
        <v>90</v>
      </c>
      <c r="I94" s="4">
        <v>10</v>
      </c>
      <c r="J94">
        <v>25</v>
      </c>
      <c r="K94" s="1" t="s">
        <v>61</v>
      </c>
      <c r="L94" s="1" t="s">
        <v>29</v>
      </c>
      <c r="M94" s="4">
        <v>671</v>
      </c>
      <c r="N94">
        <v>29</v>
      </c>
      <c r="O94" s="21">
        <v>62.612699999999997</v>
      </c>
      <c r="P94" s="1" t="s">
        <v>64</v>
      </c>
      <c r="Q94" s="3">
        <v>0.33343182522473902</v>
      </c>
      <c r="R94" s="22">
        <f>Glow[[#This Row],[Defect rates]]/100</f>
        <v>3.3343182522473903E-3</v>
      </c>
      <c r="S94" s="4">
        <v>8</v>
      </c>
      <c r="T94" s="1" t="s">
        <v>27</v>
      </c>
      <c r="U94" s="21">
        <v>4.4695000261236002</v>
      </c>
      <c r="V94" s="4">
        <v>4</v>
      </c>
      <c r="W94" s="1" t="s">
        <v>47</v>
      </c>
      <c r="X94" s="1" t="s">
        <v>32</v>
      </c>
      <c r="Y94" s="21">
        <v>230.09280000000001</v>
      </c>
    </row>
    <row r="95" spans="1:25" x14ac:dyDescent="0.35">
      <c r="A95" t="s">
        <v>24</v>
      </c>
      <c r="B95" s="1" t="s">
        <v>147</v>
      </c>
      <c r="C95" s="21">
        <v>69.290800000000004</v>
      </c>
      <c r="D95" s="4">
        <v>88</v>
      </c>
      <c r="E95" s="4">
        <v>114</v>
      </c>
      <c r="F95" s="21">
        <v>4531.4021000000002</v>
      </c>
      <c r="G95" s="1" t="s">
        <v>38</v>
      </c>
      <c r="H95" s="4">
        <v>63</v>
      </c>
      <c r="I95" s="4">
        <v>66</v>
      </c>
      <c r="J95">
        <v>17</v>
      </c>
      <c r="K95" s="1" t="s">
        <v>52</v>
      </c>
      <c r="L95" s="1" t="s">
        <v>62</v>
      </c>
      <c r="M95" s="4">
        <v>824</v>
      </c>
      <c r="N95">
        <v>20</v>
      </c>
      <c r="O95" s="21">
        <v>35.633699999999997</v>
      </c>
      <c r="P95" s="1" t="s">
        <v>46</v>
      </c>
      <c r="Q95" s="3">
        <v>4.1657817954241398</v>
      </c>
      <c r="R95" s="22">
        <f>Glow[[#This Row],[Defect rates]]/100</f>
        <v>4.1657817954241401E-2</v>
      </c>
      <c r="S95" s="4">
        <v>1</v>
      </c>
      <c r="T95" s="1" t="s">
        <v>43</v>
      </c>
      <c r="U95" s="21">
        <v>7.00643205900439</v>
      </c>
      <c r="V95" s="4">
        <v>21</v>
      </c>
      <c r="W95" s="1" t="s">
        <v>40</v>
      </c>
      <c r="X95" s="1" t="s">
        <v>48</v>
      </c>
      <c r="Y95" s="21">
        <v>823.52380000000005</v>
      </c>
    </row>
    <row r="96" spans="1:25" x14ac:dyDescent="0.35">
      <c r="A96" t="s">
        <v>57</v>
      </c>
      <c r="B96" s="1" t="s">
        <v>148</v>
      </c>
      <c r="C96" s="21">
        <v>3.0377000000000001</v>
      </c>
      <c r="D96" s="4">
        <v>97</v>
      </c>
      <c r="E96" s="4">
        <v>987</v>
      </c>
      <c r="F96" s="21">
        <v>7888.3564999999999</v>
      </c>
      <c r="G96" s="1" t="s">
        <v>38</v>
      </c>
      <c r="H96" s="4">
        <v>77</v>
      </c>
      <c r="I96" s="4">
        <v>72</v>
      </c>
      <c r="J96">
        <v>26</v>
      </c>
      <c r="K96" s="1" t="s">
        <v>61</v>
      </c>
      <c r="L96" s="1" t="s">
        <v>50</v>
      </c>
      <c r="M96" s="4">
        <v>908</v>
      </c>
      <c r="N96">
        <v>14</v>
      </c>
      <c r="O96" s="21">
        <v>60.3874</v>
      </c>
      <c r="P96" s="1" t="s">
        <v>64</v>
      </c>
      <c r="Q96" s="3">
        <v>1.4636074984727701</v>
      </c>
      <c r="R96" s="22">
        <f>Glow[[#This Row],[Defect rates]]/100</f>
        <v>1.4636074984727701E-2</v>
      </c>
      <c r="S96" s="4">
        <v>9</v>
      </c>
      <c r="T96" s="1" t="s">
        <v>27</v>
      </c>
      <c r="U96" s="21">
        <v>6.9429459420325799</v>
      </c>
      <c r="V96" s="4">
        <v>12</v>
      </c>
      <c r="W96" s="1" t="s">
        <v>47</v>
      </c>
      <c r="X96" s="1" t="s">
        <v>32</v>
      </c>
      <c r="Y96" s="21">
        <v>846.6653</v>
      </c>
    </row>
    <row r="97" spans="1:25" x14ac:dyDescent="0.35">
      <c r="A97" t="s">
        <v>24</v>
      </c>
      <c r="B97" s="1" t="s">
        <v>149</v>
      </c>
      <c r="C97" s="21">
        <v>77.903899999999993</v>
      </c>
      <c r="D97" s="4">
        <v>65</v>
      </c>
      <c r="E97" s="4">
        <v>672</v>
      </c>
      <c r="F97" s="21">
        <v>7386.3639000000003</v>
      </c>
      <c r="G97" s="1" t="s">
        <v>38</v>
      </c>
      <c r="H97" s="4">
        <v>15</v>
      </c>
      <c r="I97" s="4">
        <v>26</v>
      </c>
      <c r="J97">
        <v>14</v>
      </c>
      <c r="K97" s="1" t="s">
        <v>52</v>
      </c>
      <c r="L97" s="1" t="s">
        <v>29</v>
      </c>
      <c r="M97" s="4">
        <v>450</v>
      </c>
      <c r="N97">
        <v>26</v>
      </c>
      <c r="O97" s="21">
        <v>58.890700000000002</v>
      </c>
      <c r="P97" s="1" t="s">
        <v>30</v>
      </c>
      <c r="Q97" s="3">
        <v>1.21088212958506</v>
      </c>
      <c r="R97" s="22">
        <f>Glow[[#This Row],[Defect rates]]/100</f>
        <v>1.21088212958506E-2</v>
      </c>
      <c r="S97" s="4">
        <v>9</v>
      </c>
      <c r="T97" s="1" t="s">
        <v>27</v>
      </c>
      <c r="U97" s="21">
        <v>8.6303388696027508</v>
      </c>
      <c r="V97" s="4">
        <v>18</v>
      </c>
      <c r="W97" s="1" t="s">
        <v>40</v>
      </c>
      <c r="X97" s="1" t="s">
        <v>48</v>
      </c>
      <c r="Y97" s="21">
        <v>778.86419999999998</v>
      </c>
    </row>
    <row r="98" spans="1:25" x14ac:dyDescent="0.35">
      <c r="A98" t="s">
        <v>57</v>
      </c>
      <c r="B98" s="1" t="s">
        <v>150</v>
      </c>
      <c r="C98" s="21">
        <v>24.423100000000002</v>
      </c>
      <c r="D98" s="4">
        <v>29</v>
      </c>
      <c r="E98" s="4">
        <v>324</v>
      </c>
      <c r="F98" s="21">
        <v>7698.4247999999998</v>
      </c>
      <c r="G98" s="1" t="s">
        <v>26</v>
      </c>
      <c r="H98" s="4">
        <v>67</v>
      </c>
      <c r="I98" s="4">
        <v>32</v>
      </c>
      <c r="J98">
        <v>2</v>
      </c>
      <c r="K98" s="1" t="s">
        <v>28</v>
      </c>
      <c r="L98" s="1" t="s">
        <v>29</v>
      </c>
      <c r="M98" s="4">
        <v>648</v>
      </c>
      <c r="N98">
        <v>28</v>
      </c>
      <c r="O98" s="21">
        <v>17.803799999999999</v>
      </c>
      <c r="P98" s="1" t="s">
        <v>30</v>
      </c>
      <c r="Q98" s="3">
        <v>3.8720476814821301</v>
      </c>
      <c r="R98" s="22">
        <f>Glow[[#This Row],[Defect rates]]/100</f>
        <v>3.8720476814821297E-2</v>
      </c>
      <c r="S98" s="4">
        <v>3</v>
      </c>
      <c r="T98" s="1" t="s">
        <v>43</v>
      </c>
      <c r="U98" s="21">
        <v>5.3528780439967996</v>
      </c>
      <c r="V98" s="4">
        <v>28</v>
      </c>
      <c r="W98" s="1" t="s">
        <v>31</v>
      </c>
      <c r="X98" s="1" t="s">
        <v>48</v>
      </c>
      <c r="Y98" s="21">
        <v>188.74209999999999</v>
      </c>
    </row>
    <row r="99" spans="1:25" x14ac:dyDescent="0.35">
      <c r="A99" t="s">
        <v>24</v>
      </c>
      <c r="B99" s="1" t="s">
        <v>151</v>
      </c>
      <c r="C99" s="21">
        <v>3.5261</v>
      </c>
      <c r="D99" s="4">
        <v>56</v>
      </c>
      <c r="E99" s="4">
        <v>62</v>
      </c>
      <c r="F99" s="21">
        <v>4370.9165999999996</v>
      </c>
      <c r="G99" s="1" t="s">
        <v>55</v>
      </c>
      <c r="H99" s="4">
        <v>46</v>
      </c>
      <c r="I99" s="4">
        <v>4</v>
      </c>
      <c r="J99">
        <v>19</v>
      </c>
      <c r="K99" s="1" t="s">
        <v>52</v>
      </c>
      <c r="L99" s="1" t="s">
        <v>29</v>
      </c>
      <c r="M99" s="4">
        <v>535</v>
      </c>
      <c r="N99">
        <v>13</v>
      </c>
      <c r="O99" s="21">
        <v>65.765199999999993</v>
      </c>
      <c r="P99" s="1" t="s">
        <v>46</v>
      </c>
      <c r="Q99" s="3">
        <v>3.3762378347179798</v>
      </c>
      <c r="R99" s="22">
        <f>Glow[[#This Row],[Defect rates]]/100</f>
        <v>3.3762378347179794E-2</v>
      </c>
      <c r="S99" s="4">
        <v>9</v>
      </c>
      <c r="T99" s="1" t="s">
        <v>36</v>
      </c>
      <c r="U99" s="21">
        <v>7.9048456112096703</v>
      </c>
      <c r="V99" s="4">
        <v>10</v>
      </c>
      <c r="W99" s="1" t="s">
        <v>31</v>
      </c>
      <c r="X99" s="1" t="s">
        <v>48</v>
      </c>
      <c r="Y99" s="21">
        <v>540.13239999999996</v>
      </c>
    </row>
    <row r="100" spans="1:25" x14ac:dyDescent="0.35">
      <c r="A100" t="s">
        <v>33</v>
      </c>
      <c r="B100" s="1" t="s">
        <v>152</v>
      </c>
      <c r="C100" s="21">
        <v>19.7546</v>
      </c>
      <c r="D100" s="4">
        <v>43</v>
      </c>
      <c r="E100" s="4">
        <v>913</v>
      </c>
      <c r="F100" s="21">
        <v>8525.9526000000005</v>
      </c>
      <c r="G100" s="1" t="s">
        <v>35</v>
      </c>
      <c r="H100" s="4">
        <v>53</v>
      </c>
      <c r="I100" s="4">
        <v>27</v>
      </c>
      <c r="J100">
        <v>1</v>
      </c>
      <c r="K100" s="1" t="s">
        <v>44</v>
      </c>
      <c r="L100" s="1" t="s">
        <v>62</v>
      </c>
      <c r="M100" s="4">
        <v>581</v>
      </c>
      <c r="N100">
        <v>9</v>
      </c>
      <c r="O100" s="21">
        <v>5.6047000000000002</v>
      </c>
      <c r="P100" s="1" t="s">
        <v>30</v>
      </c>
      <c r="Q100" s="3">
        <v>2.9081221693512598</v>
      </c>
      <c r="R100" s="22">
        <f>Glow[[#This Row],[Defect rates]]/100</f>
        <v>2.9081221693512599E-2</v>
      </c>
      <c r="S100" s="4">
        <v>7</v>
      </c>
      <c r="T100" s="1" t="s">
        <v>27</v>
      </c>
      <c r="U100" s="21">
        <v>1.4098010951380699</v>
      </c>
      <c r="V100" s="4">
        <v>28</v>
      </c>
      <c r="W100" s="1" t="s">
        <v>47</v>
      </c>
      <c r="X100" s="1" t="s">
        <v>48</v>
      </c>
      <c r="Y100" s="21">
        <v>882.19889999999998</v>
      </c>
    </row>
    <row r="101" spans="1:25" x14ac:dyDescent="0.35">
      <c r="A101" t="s">
        <v>24</v>
      </c>
      <c r="B101" s="1" t="s">
        <v>153</v>
      </c>
      <c r="C101" s="21">
        <v>68.517799999999994</v>
      </c>
      <c r="D101" s="4">
        <v>17</v>
      </c>
      <c r="E101" s="4">
        <v>627</v>
      </c>
      <c r="F101" s="21">
        <v>9185.1857999999993</v>
      </c>
      <c r="G101" s="1" t="s">
        <v>38</v>
      </c>
      <c r="H101" s="4">
        <v>55</v>
      </c>
      <c r="I101" s="4">
        <v>59</v>
      </c>
      <c r="J101">
        <v>8</v>
      </c>
      <c r="K101" s="1" t="s">
        <v>61</v>
      </c>
      <c r="L101" s="1" t="s">
        <v>62</v>
      </c>
      <c r="M101" s="4">
        <v>921</v>
      </c>
      <c r="N101">
        <v>2</v>
      </c>
      <c r="O101" s="21">
        <v>38.072899999999997</v>
      </c>
      <c r="P101" s="1" t="s">
        <v>46</v>
      </c>
      <c r="Q101" s="3">
        <v>0.34602729070550298</v>
      </c>
      <c r="R101" s="22">
        <f>Glow[[#This Row],[Defect rates]]/100</f>
        <v>3.46027290705503E-3</v>
      </c>
      <c r="S101" s="4">
        <v>6</v>
      </c>
      <c r="T101" s="1" t="s">
        <v>27</v>
      </c>
      <c r="U101" s="21">
        <v>1.3110237561206199</v>
      </c>
      <c r="V101" s="4">
        <v>29</v>
      </c>
      <c r="W101" s="1" t="s">
        <v>47</v>
      </c>
      <c r="X101" s="1" t="s">
        <v>32</v>
      </c>
      <c r="Y101" s="21">
        <v>210.74299999999999</v>
      </c>
    </row>
    <row r="102" spans="1:25" x14ac:dyDescent="0.35">
      <c r="E102" s="4">
        <f>SUM(Glow[Number of products sold])</f>
        <v>46099</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9BF0-C5B7-44A2-BB07-DB89EA019625}">
  <dimension ref="A1:L313"/>
  <sheetViews>
    <sheetView showGridLines="0" showRowColHeaders="0" workbookViewId="0">
      <selection activeCell="L21" sqref="L21"/>
    </sheetView>
  </sheetViews>
  <sheetFormatPr defaultRowHeight="14.5" x14ac:dyDescent="0.35"/>
  <cols>
    <col min="1" max="1" width="10.36328125" bestFit="1" customWidth="1"/>
    <col min="2" max="2" width="14" customWidth="1"/>
    <col min="3" max="3" width="12.54296875" bestFit="1" customWidth="1"/>
    <col min="4" max="4" width="27.81640625" bestFit="1" customWidth="1"/>
  </cols>
  <sheetData>
    <row r="1" spans="1:4" x14ac:dyDescent="0.35">
      <c r="A1" s="24" t="s">
        <v>166</v>
      </c>
      <c r="B1" t="s">
        <v>167</v>
      </c>
      <c r="C1" t="s">
        <v>168</v>
      </c>
      <c r="D1" s="26"/>
    </row>
    <row r="2" spans="1:4" x14ac:dyDescent="0.35">
      <c r="A2" s="25" t="s">
        <v>57</v>
      </c>
      <c r="B2" s="21">
        <v>57.361057692307696</v>
      </c>
      <c r="C2" s="21">
        <v>161521.26589999997</v>
      </c>
      <c r="D2" s="21"/>
    </row>
    <row r="3" spans="1:4" x14ac:dyDescent="0.35">
      <c r="A3" s="25" t="s">
        <v>24</v>
      </c>
      <c r="B3" s="21">
        <v>46.014267647058823</v>
      </c>
      <c r="C3" s="21">
        <v>174455.39070000005</v>
      </c>
      <c r="D3" s="21"/>
    </row>
    <row r="4" spans="1:4" x14ac:dyDescent="0.35">
      <c r="A4" s="25" t="s">
        <v>33</v>
      </c>
      <c r="B4" s="21">
        <v>47.259325000000004</v>
      </c>
      <c r="C4" s="21">
        <v>241628.16230000003</v>
      </c>
      <c r="D4" s="21"/>
    </row>
    <row r="5" spans="1:4" x14ac:dyDescent="0.35">
      <c r="A5" s="25" t="s">
        <v>163</v>
      </c>
      <c r="B5" s="21">
        <v>49.46245600000001</v>
      </c>
      <c r="C5" s="21">
        <v>577604.81890000007</v>
      </c>
      <c r="D5" s="27"/>
    </row>
    <row r="7" spans="1:4" x14ac:dyDescent="0.35">
      <c r="A7" s="25"/>
    </row>
    <row r="24" spans="1:4" x14ac:dyDescent="0.35">
      <c r="A24" s="30" t="s">
        <v>165</v>
      </c>
      <c r="B24" s="30"/>
      <c r="C24" s="30"/>
      <c r="D24" s="30"/>
    </row>
    <row r="26" spans="1:4" x14ac:dyDescent="0.35">
      <c r="A26" s="24" t="s">
        <v>166</v>
      </c>
      <c r="B26" t="s">
        <v>168</v>
      </c>
    </row>
    <row r="27" spans="1:4" x14ac:dyDescent="0.35">
      <c r="A27" s="25" t="s">
        <v>57</v>
      </c>
      <c r="B27" s="22">
        <v>0.27963974782551793</v>
      </c>
    </row>
    <row r="28" spans="1:4" x14ac:dyDescent="0.35">
      <c r="A28" s="25" t="s">
        <v>24</v>
      </c>
      <c r="B28" s="22">
        <v>0.30203243635022942</v>
      </c>
    </row>
    <row r="29" spans="1:4" x14ac:dyDescent="0.35">
      <c r="A29" s="25" t="s">
        <v>33</v>
      </c>
      <c r="B29" s="22">
        <v>0.41832781582425266</v>
      </c>
    </row>
    <row r="30" spans="1:4" x14ac:dyDescent="0.35">
      <c r="A30" s="25" t="s">
        <v>163</v>
      </c>
      <c r="B30" s="22">
        <v>1</v>
      </c>
    </row>
    <row r="38" spans="1:12" x14ac:dyDescent="0.35">
      <c r="A38" s="30" t="s">
        <v>170</v>
      </c>
      <c r="B38" s="30"/>
      <c r="C38" s="30"/>
      <c r="D38" s="30"/>
      <c r="E38" s="30"/>
      <c r="F38" s="30"/>
      <c r="G38" s="30"/>
      <c r="H38" s="30"/>
      <c r="I38" s="30"/>
      <c r="J38" s="30"/>
      <c r="K38" s="30"/>
      <c r="L38" s="30"/>
    </row>
    <row r="39" spans="1:12" x14ac:dyDescent="0.35">
      <c r="A39" s="31" t="s">
        <v>171</v>
      </c>
      <c r="B39" s="31"/>
      <c r="C39" s="31"/>
      <c r="D39" s="31"/>
      <c r="E39" s="31"/>
      <c r="F39" s="31"/>
      <c r="G39" s="31"/>
      <c r="H39" s="31"/>
      <c r="I39" s="31"/>
      <c r="J39" s="31"/>
    </row>
    <row r="40" spans="1:12" x14ac:dyDescent="0.35">
      <c r="A40" s="24" t="s">
        <v>169</v>
      </c>
      <c r="B40" t="s">
        <v>168</v>
      </c>
      <c r="C40" s="26" t="s">
        <v>172</v>
      </c>
    </row>
    <row r="41" spans="1:12" x14ac:dyDescent="0.35">
      <c r="A41" s="25" t="s">
        <v>36</v>
      </c>
      <c r="B41" s="21">
        <v>142629.99480000001</v>
      </c>
      <c r="C41" s="21">
        <v>142629.99480000001</v>
      </c>
    </row>
    <row r="42" spans="1:12" x14ac:dyDescent="0.35">
      <c r="A42" s="25" t="s">
        <v>27</v>
      </c>
      <c r="B42" s="21">
        <v>250094.64689999999</v>
      </c>
      <c r="C42" s="21">
        <v>250094.64689999999</v>
      </c>
    </row>
    <row r="43" spans="1:12" x14ac:dyDescent="0.35">
      <c r="A43" s="25" t="s">
        <v>43</v>
      </c>
      <c r="B43" s="21">
        <v>184880.17719999998</v>
      </c>
      <c r="C43" s="21">
        <v>184880.17719999998</v>
      </c>
    </row>
    <row r="44" spans="1:12" x14ac:dyDescent="0.35">
      <c r="A44" s="25" t="s">
        <v>163</v>
      </c>
      <c r="B44" s="21">
        <v>577604.81890000007</v>
      </c>
      <c r="C44" s="27">
        <v>577604.81890000007</v>
      </c>
    </row>
    <row r="53" spans="1:4" x14ac:dyDescent="0.35">
      <c r="A53" s="30" t="s">
        <v>173</v>
      </c>
      <c r="B53" s="30"/>
      <c r="C53" s="30"/>
      <c r="D53" s="30"/>
    </row>
    <row r="54" spans="1:4" x14ac:dyDescent="0.35">
      <c r="A54" s="24" t="s">
        <v>1</v>
      </c>
      <c r="B54" t="s">
        <v>168</v>
      </c>
    </row>
    <row r="55" spans="1:4" x14ac:dyDescent="0.35">
      <c r="A55" s="25" t="s">
        <v>105</v>
      </c>
      <c r="B55" s="21">
        <v>9866.4655000000002</v>
      </c>
    </row>
    <row r="56" spans="1:4" x14ac:dyDescent="0.35">
      <c r="A56" s="25" t="s">
        <v>92</v>
      </c>
      <c r="B56" s="21">
        <v>9692.3179999999993</v>
      </c>
    </row>
    <row r="57" spans="1:4" x14ac:dyDescent="0.35">
      <c r="A57" s="25" t="s">
        <v>85</v>
      </c>
      <c r="B57" s="21">
        <v>9655.1350999999995</v>
      </c>
    </row>
    <row r="58" spans="1:4" x14ac:dyDescent="0.35">
      <c r="A58" s="25" t="s">
        <v>144</v>
      </c>
      <c r="B58" s="21">
        <v>9592.6335999999992</v>
      </c>
    </row>
    <row r="59" spans="1:4" x14ac:dyDescent="0.35">
      <c r="A59" s="25" t="s">
        <v>37</v>
      </c>
      <c r="B59" s="21">
        <v>9577.7495999999992</v>
      </c>
    </row>
    <row r="60" spans="1:4" x14ac:dyDescent="0.35">
      <c r="A60" s="25" t="s">
        <v>86</v>
      </c>
      <c r="B60" s="21">
        <v>9571.5504999999994</v>
      </c>
    </row>
    <row r="61" spans="1:4" x14ac:dyDescent="0.35">
      <c r="A61" s="25" t="s">
        <v>121</v>
      </c>
      <c r="B61" s="21">
        <v>9473.7980000000007</v>
      </c>
    </row>
    <row r="62" spans="1:4" x14ac:dyDescent="0.35">
      <c r="A62" s="25" t="s">
        <v>142</v>
      </c>
      <c r="B62" s="21">
        <v>9444.7420000000002</v>
      </c>
    </row>
    <row r="63" spans="1:4" x14ac:dyDescent="0.35">
      <c r="A63" s="25" t="s">
        <v>106</v>
      </c>
      <c r="B63" s="21">
        <v>9435.7626</v>
      </c>
    </row>
    <row r="64" spans="1:4" x14ac:dyDescent="0.35">
      <c r="A64" s="25" t="s">
        <v>72</v>
      </c>
      <c r="B64" s="21">
        <v>9364.6735000000008</v>
      </c>
    </row>
    <row r="65" spans="1:2" x14ac:dyDescent="0.35">
      <c r="A65" s="25" t="s">
        <v>153</v>
      </c>
      <c r="B65" s="21">
        <v>9185.1857999999993</v>
      </c>
    </row>
    <row r="66" spans="1:2" x14ac:dyDescent="0.35">
      <c r="A66" s="25" t="s">
        <v>88</v>
      </c>
      <c r="B66" s="21">
        <v>9061.7109</v>
      </c>
    </row>
    <row r="67" spans="1:2" x14ac:dyDescent="0.35">
      <c r="A67" s="25" t="s">
        <v>78</v>
      </c>
      <c r="B67" s="21">
        <v>9049.0779000000002</v>
      </c>
    </row>
    <row r="68" spans="1:2" x14ac:dyDescent="0.35">
      <c r="A68" s="25" t="s">
        <v>114</v>
      </c>
      <c r="B68" s="21">
        <v>8864.0843000000004</v>
      </c>
    </row>
    <row r="69" spans="1:2" x14ac:dyDescent="0.35">
      <c r="A69" s="25" t="s">
        <v>77</v>
      </c>
      <c r="B69" s="21">
        <v>8858.3675999999996</v>
      </c>
    </row>
    <row r="70" spans="1:2" x14ac:dyDescent="0.35">
      <c r="A70" s="25" t="s">
        <v>139</v>
      </c>
      <c r="B70" s="21">
        <v>8684.6131000000005</v>
      </c>
    </row>
    <row r="71" spans="1:2" x14ac:dyDescent="0.35">
      <c r="A71" s="25" t="s">
        <v>25</v>
      </c>
      <c r="B71" s="21">
        <v>8661.9968000000008</v>
      </c>
    </row>
    <row r="72" spans="1:2" x14ac:dyDescent="0.35">
      <c r="A72" s="25" t="s">
        <v>68</v>
      </c>
      <c r="B72" s="21">
        <v>8653.5709000000006</v>
      </c>
    </row>
    <row r="73" spans="1:2" x14ac:dyDescent="0.35">
      <c r="A73" s="25" t="s">
        <v>134</v>
      </c>
      <c r="B73" s="21">
        <v>8651.6726999999992</v>
      </c>
    </row>
    <row r="74" spans="1:2" x14ac:dyDescent="0.35">
      <c r="A74" s="25" t="s">
        <v>152</v>
      </c>
      <c r="B74" s="21">
        <v>8525.9526000000005</v>
      </c>
    </row>
    <row r="75" spans="1:2" x14ac:dyDescent="0.35">
      <c r="A75" s="25" t="s">
        <v>58</v>
      </c>
      <c r="B75" s="21">
        <v>8496.1038000000008</v>
      </c>
    </row>
    <row r="76" spans="1:2" x14ac:dyDescent="0.35">
      <c r="A76" s="25" t="s">
        <v>118</v>
      </c>
      <c r="B76" s="21">
        <v>8458.7309000000005</v>
      </c>
    </row>
    <row r="77" spans="1:2" x14ac:dyDescent="0.35">
      <c r="A77" s="25" t="s">
        <v>120</v>
      </c>
      <c r="B77" s="21">
        <v>8367.7216000000008</v>
      </c>
    </row>
    <row r="78" spans="1:2" x14ac:dyDescent="0.35">
      <c r="A78" s="25" t="s">
        <v>119</v>
      </c>
      <c r="B78" s="21">
        <v>8354.5797000000002</v>
      </c>
    </row>
    <row r="79" spans="1:2" x14ac:dyDescent="0.35">
      <c r="A79" s="25" t="s">
        <v>83</v>
      </c>
      <c r="B79" s="21">
        <v>8318.9032000000007</v>
      </c>
    </row>
    <row r="80" spans="1:2" x14ac:dyDescent="0.35">
      <c r="A80" s="25" t="s">
        <v>107</v>
      </c>
      <c r="B80" s="21">
        <v>8232.3348000000005</v>
      </c>
    </row>
    <row r="81" spans="1:2" x14ac:dyDescent="0.35">
      <c r="A81" s="25" t="s">
        <v>125</v>
      </c>
      <c r="B81" s="21">
        <v>8180.3370999999997</v>
      </c>
    </row>
    <row r="82" spans="1:2" x14ac:dyDescent="0.35">
      <c r="A82" s="25" t="s">
        <v>74</v>
      </c>
      <c r="B82" s="21">
        <v>8128.0276999999996</v>
      </c>
    </row>
    <row r="83" spans="1:2" x14ac:dyDescent="0.35">
      <c r="A83" s="25" t="s">
        <v>103</v>
      </c>
      <c r="B83" s="21">
        <v>8001.6131999999998</v>
      </c>
    </row>
    <row r="84" spans="1:2" x14ac:dyDescent="0.35">
      <c r="A84" s="25" t="s">
        <v>127</v>
      </c>
      <c r="B84" s="21">
        <v>7910.8869000000004</v>
      </c>
    </row>
    <row r="85" spans="1:2" x14ac:dyDescent="0.35">
      <c r="A85" s="25" t="s">
        <v>133</v>
      </c>
      <c r="B85" s="21">
        <v>7888.7232999999997</v>
      </c>
    </row>
    <row r="86" spans="1:2" x14ac:dyDescent="0.35">
      <c r="A86" s="25" t="s">
        <v>148</v>
      </c>
      <c r="B86" s="21">
        <v>7888.3564999999999</v>
      </c>
    </row>
    <row r="87" spans="1:2" x14ac:dyDescent="0.35">
      <c r="A87" s="25" t="s">
        <v>54</v>
      </c>
      <c r="B87" s="21">
        <v>7823.4766</v>
      </c>
    </row>
    <row r="88" spans="1:2" x14ac:dyDescent="0.35">
      <c r="A88" s="25" t="s">
        <v>42</v>
      </c>
      <c r="B88" s="21">
        <v>7766.8364000000001</v>
      </c>
    </row>
    <row r="89" spans="1:2" x14ac:dyDescent="0.35">
      <c r="A89" s="25" t="s">
        <v>150</v>
      </c>
      <c r="B89" s="21">
        <v>7698.4247999999998</v>
      </c>
    </row>
    <row r="90" spans="1:2" x14ac:dyDescent="0.35">
      <c r="A90" s="25" t="s">
        <v>90</v>
      </c>
      <c r="B90" s="21">
        <v>7573.4025000000001</v>
      </c>
    </row>
    <row r="91" spans="1:2" x14ac:dyDescent="0.35">
      <c r="A91" s="25" t="s">
        <v>59</v>
      </c>
      <c r="B91" s="21">
        <v>7517.3631999999998</v>
      </c>
    </row>
    <row r="92" spans="1:2" x14ac:dyDescent="0.35">
      <c r="A92" s="25" t="s">
        <v>34</v>
      </c>
      <c r="B92" s="21">
        <v>7460.9000999999998</v>
      </c>
    </row>
    <row r="93" spans="1:2" x14ac:dyDescent="0.35">
      <c r="A93" s="25" t="s">
        <v>102</v>
      </c>
      <c r="B93" s="21">
        <v>7397.0709999999999</v>
      </c>
    </row>
    <row r="94" spans="1:2" x14ac:dyDescent="0.35">
      <c r="A94" s="25" t="s">
        <v>149</v>
      </c>
      <c r="B94" s="21">
        <v>7386.3639000000003</v>
      </c>
    </row>
    <row r="95" spans="1:2" x14ac:dyDescent="0.35">
      <c r="A95" s="25" t="s">
        <v>98</v>
      </c>
      <c r="B95" s="21">
        <v>7152.2860000000001</v>
      </c>
    </row>
    <row r="96" spans="1:2" x14ac:dyDescent="0.35">
      <c r="A96" s="25" t="s">
        <v>101</v>
      </c>
      <c r="B96" s="21">
        <v>7089.4741999999997</v>
      </c>
    </row>
    <row r="97" spans="1:2" x14ac:dyDescent="0.35">
      <c r="A97" s="25" t="s">
        <v>75</v>
      </c>
      <c r="B97" s="21">
        <v>7087.0527000000002</v>
      </c>
    </row>
    <row r="98" spans="1:2" x14ac:dyDescent="0.35">
      <c r="A98" s="25" t="s">
        <v>124</v>
      </c>
      <c r="B98" s="21">
        <v>7014.8879999999999</v>
      </c>
    </row>
    <row r="99" spans="1:2" x14ac:dyDescent="0.35">
      <c r="A99" s="25" t="s">
        <v>115</v>
      </c>
      <c r="B99" s="21">
        <v>6885.5893999999998</v>
      </c>
    </row>
    <row r="100" spans="1:2" x14ac:dyDescent="0.35">
      <c r="A100" s="25" t="s">
        <v>89</v>
      </c>
      <c r="B100" s="21">
        <v>6541.3293000000003</v>
      </c>
    </row>
    <row r="101" spans="1:2" x14ac:dyDescent="0.35">
      <c r="A101" s="25" t="s">
        <v>70</v>
      </c>
      <c r="B101" s="21">
        <v>6453.7979999999998</v>
      </c>
    </row>
    <row r="102" spans="1:2" x14ac:dyDescent="0.35">
      <c r="A102" s="25" t="s">
        <v>82</v>
      </c>
      <c r="B102" s="21">
        <v>6117.3245999999999</v>
      </c>
    </row>
    <row r="103" spans="1:2" x14ac:dyDescent="0.35">
      <c r="A103" s="25" t="s">
        <v>65</v>
      </c>
      <c r="B103" s="21">
        <v>6099.9440999999997</v>
      </c>
    </row>
    <row r="104" spans="1:2" x14ac:dyDescent="0.35">
      <c r="A104" s="25" t="s">
        <v>108</v>
      </c>
      <c r="B104" s="21">
        <v>6088.0214999999998</v>
      </c>
    </row>
    <row r="105" spans="1:2" x14ac:dyDescent="0.35">
      <c r="A105" s="25" t="s">
        <v>143</v>
      </c>
      <c r="B105" s="21">
        <v>5924.6826000000001</v>
      </c>
    </row>
    <row r="106" spans="1:2" x14ac:dyDescent="0.35">
      <c r="A106" s="25" t="s">
        <v>104</v>
      </c>
      <c r="B106" s="21">
        <v>5910.8854000000001</v>
      </c>
    </row>
    <row r="107" spans="1:2" x14ac:dyDescent="0.35">
      <c r="A107" s="25" t="s">
        <v>97</v>
      </c>
      <c r="B107" s="21">
        <v>5737.4255999999996</v>
      </c>
    </row>
    <row r="108" spans="1:2" x14ac:dyDescent="0.35">
      <c r="A108" s="25" t="s">
        <v>94</v>
      </c>
      <c r="B108" s="21">
        <v>5724.9593999999997</v>
      </c>
    </row>
    <row r="109" spans="1:2" x14ac:dyDescent="0.35">
      <c r="A109" s="25" t="s">
        <v>128</v>
      </c>
      <c r="B109" s="21">
        <v>5709.9453000000003</v>
      </c>
    </row>
    <row r="110" spans="1:2" x14ac:dyDescent="0.35">
      <c r="A110" s="25" t="s">
        <v>95</v>
      </c>
      <c r="B110" s="21">
        <v>5521.2052999999996</v>
      </c>
    </row>
    <row r="111" spans="1:2" x14ac:dyDescent="0.35">
      <c r="A111" s="25" t="s">
        <v>69</v>
      </c>
      <c r="B111" s="21">
        <v>5442.0868</v>
      </c>
    </row>
    <row r="112" spans="1:2" x14ac:dyDescent="0.35">
      <c r="A112" s="25" t="s">
        <v>130</v>
      </c>
      <c r="B112" s="21">
        <v>5328.3760000000002</v>
      </c>
    </row>
    <row r="113" spans="1:2" x14ac:dyDescent="0.35">
      <c r="A113" s="25" t="s">
        <v>99</v>
      </c>
      <c r="B113" s="21">
        <v>5267.9567999999999</v>
      </c>
    </row>
    <row r="114" spans="1:2" x14ac:dyDescent="0.35">
      <c r="A114" s="25" t="s">
        <v>87</v>
      </c>
      <c r="B114" s="21">
        <v>5149.9984000000004</v>
      </c>
    </row>
    <row r="115" spans="1:2" x14ac:dyDescent="0.35">
      <c r="A115" s="25" t="s">
        <v>141</v>
      </c>
      <c r="B115" s="21">
        <v>5133.8467000000001</v>
      </c>
    </row>
    <row r="116" spans="1:2" x14ac:dyDescent="0.35">
      <c r="A116" s="25" t="s">
        <v>60</v>
      </c>
      <c r="B116" s="21">
        <v>4971.1459999999997</v>
      </c>
    </row>
    <row r="117" spans="1:2" x14ac:dyDescent="0.35">
      <c r="A117" s="25" t="s">
        <v>110</v>
      </c>
      <c r="B117" s="21">
        <v>4767.0204999999996</v>
      </c>
    </row>
    <row r="118" spans="1:2" x14ac:dyDescent="0.35">
      <c r="A118" s="25" t="s">
        <v>147</v>
      </c>
      <c r="B118" s="21">
        <v>4531.4021000000002</v>
      </c>
    </row>
    <row r="119" spans="1:2" x14ac:dyDescent="0.35">
      <c r="A119" s="25" t="s">
        <v>135</v>
      </c>
      <c r="B119" s="21">
        <v>4384.4134000000004</v>
      </c>
    </row>
    <row r="120" spans="1:2" x14ac:dyDescent="0.35">
      <c r="A120" s="25" t="s">
        <v>151</v>
      </c>
      <c r="B120" s="21">
        <v>4370.9165999999996</v>
      </c>
    </row>
    <row r="121" spans="1:2" x14ac:dyDescent="0.35">
      <c r="A121" s="25" t="s">
        <v>117</v>
      </c>
      <c r="B121" s="21">
        <v>4256.9490999999998</v>
      </c>
    </row>
    <row r="122" spans="1:2" x14ac:dyDescent="0.35">
      <c r="A122" s="25" t="s">
        <v>67</v>
      </c>
      <c r="B122" s="21">
        <v>4052.7384000000002</v>
      </c>
    </row>
    <row r="123" spans="1:2" x14ac:dyDescent="0.35">
      <c r="A123" s="25" t="s">
        <v>116</v>
      </c>
      <c r="B123" s="21">
        <v>3899.7467999999999</v>
      </c>
    </row>
    <row r="124" spans="1:2" x14ac:dyDescent="0.35">
      <c r="A124" s="25" t="s">
        <v>80</v>
      </c>
      <c r="B124" s="21">
        <v>3716.4933000000001</v>
      </c>
    </row>
    <row r="125" spans="1:2" x14ac:dyDescent="0.35">
      <c r="A125" s="25" t="s">
        <v>122</v>
      </c>
      <c r="B125" s="21">
        <v>3550.2184000000002</v>
      </c>
    </row>
    <row r="126" spans="1:2" x14ac:dyDescent="0.35">
      <c r="A126" s="25" t="s">
        <v>136</v>
      </c>
      <c r="B126" s="21">
        <v>2943.3818999999999</v>
      </c>
    </row>
    <row r="127" spans="1:2" x14ac:dyDescent="0.35">
      <c r="A127" s="25" t="s">
        <v>109</v>
      </c>
      <c r="B127" s="21">
        <v>2925.6752000000001</v>
      </c>
    </row>
    <row r="128" spans="1:2" x14ac:dyDescent="0.35">
      <c r="A128" s="25" t="s">
        <v>66</v>
      </c>
      <c r="B128" s="21">
        <v>2873.7413999999999</v>
      </c>
    </row>
    <row r="129" spans="1:2" x14ac:dyDescent="0.35">
      <c r="A129" s="25" t="s">
        <v>51</v>
      </c>
      <c r="B129" s="21">
        <v>2828.3487</v>
      </c>
    </row>
    <row r="130" spans="1:2" x14ac:dyDescent="0.35">
      <c r="A130" s="25" t="s">
        <v>84</v>
      </c>
      <c r="B130" s="21">
        <v>2766.3424</v>
      </c>
    </row>
    <row r="131" spans="1:2" x14ac:dyDescent="0.35">
      <c r="A131" s="25" t="s">
        <v>49</v>
      </c>
      <c r="B131" s="21">
        <v>2686.5052000000001</v>
      </c>
    </row>
    <row r="132" spans="1:2" x14ac:dyDescent="0.35">
      <c r="A132" s="25" t="s">
        <v>81</v>
      </c>
      <c r="B132" s="21">
        <v>2686.4571999999998</v>
      </c>
    </row>
    <row r="133" spans="1:2" x14ac:dyDescent="0.35">
      <c r="A133" s="25" t="s">
        <v>126</v>
      </c>
      <c r="B133" s="21">
        <v>2633.1219999999998</v>
      </c>
    </row>
    <row r="134" spans="1:2" x14ac:dyDescent="0.35">
      <c r="A134" s="25" t="s">
        <v>71</v>
      </c>
      <c r="B134" s="21">
        <v>2629.3964000000001</v>
      </c>
    </row>
    <row r="135" spans="1:2" x14ac:dyDescent="0.35">
      <c r="A135" s="25" t="s">
        <v>100</v>
      </c>
      <c r="B135" s="21">
        <v>2556.7674000000002</v>
      </c>
    </row>
    <row r="136" spans="1:2" x14ac:dyDescent="0.35">
      <c r="A136" s="25" t="s">
        <v>73</v>
      </c>
      <c r="B136" s="21">
        <v>2553.4956000000002</v>
      </c>
    </row>
    <row r="137" spans="1:2" x14ac:dyDescent="0.35">
      <c r="A137" s="25" t="s">
        <v>131</v>
      </c>
      <c r="B137" s="21">
        <v>2483.7602000000002</v>
      </c>
    </row>
    <row r="138" spans="1:2" x14ac:dyDescent="0.35">
      <c r="A138" s="25" t="s">
        <v>91</v>
      </c>
      <c r="B138" s="21">
        <v>2438.3398999999999</v>
      </c>
    </row>
    <row r="139" spans="1:2" x14ac:dyDescent="0.35">
      <c r="A139" s="25" t="s">
        <v>137</v>
      </c>
      <c r="B139" s="21">
        <v>2411.7546000000002</v>
      </c>
    </row>
    <row r="140" spans="1:2" x14ac:dyDescent="0.35">
      <c r="A140" s="25" t="s">
        <v>76</v>
      </c>
      <c r="B140" s="21">
        <v>2390.8078999999998</v>
      </c>
    </row>
    <row r="141" spans="1:2" x14ac:dyDescent="0.35">
      <c r="A141" s="25" t="s">
        <v>63</v>
      </c>
      <c r="B141" s="21">
        <v>2330.9657999999999</v>
      </c>
    </row>
    <row r="142" spans="1:2" x14ac:dyDescent="0.35">
      <c r="A142" s="25" t="s">
        <v>79</v>
      </c>
      <c r="B142" s="21">
        <v>2174.7770999999998</v>
      </c>
    </row>
    <row r="143" spans="1:2" x14ac:dyDescent="0.35">
      <c r="A143" s="25" t="s">
        <v>146</v>
      </c>
      <c r="B143" s="21">
        <v>2100.1298000000002</v>
      </c>
    </row>
    <row r="144" spans="1:2" x14ac:dyDescent="0.35">
      <c r="A144" s="25" t="s">
        <v>138</v>
      </c>
      <c r="B144" s="21">
        <v>2048.2901000000002</v>
      </c>
    </row>
    <row r="145" spans="1:2" x14ac:dyDescent="0.35">
      <c r="A145" s="25" t="s">
        <v>112</v>
      </c>
      <c r="B145" s="21">
        <v>2021.1497999999999</v>
      </c>
    </row>
    <row r="146" spans="1:2" x14ac:dyDescent="0.35">
      <c r="A146" s="25" t="s">
        <v>145</v>
      </c>
      <c r="B146" s="21">
        <v>1935.2067999999999</v>
      </c>
    </row>
    <row r="147" spans="1:2" x14ac:dyDescent="0.35">
      <c r="A147" s="25" t="s">
        <v>93</v>
      </c>
      <c r="B147" s="21">
        <v>1912.4657</v>
      </c>
    </row>
    <row r="148" spans="1:2" x14ac:dyDescent="0.35">
      <c r="A148" s="25" t="s">
        <v>129</v>
      </c>
      <c r="B148" s="21">
        <v>1889.0735999999999</v>
      </c>
    </row>
    <row r="149" spans="1:2" x14ac:dyDescent="0.35">
      <c r="A149" s="25" t="s">
        <v>96</v>
      </c>
      <c r="B149" s="21">
        <v>1839.6094000000001</v>
      </c>
    </row>
    <row r="150" spans="1:2" x14ac:dyDescent="0.35">
      <c r="A150" s="25" t="s">
        <v>123</v>
      </c>
      <c r="B150" s="21">
        <v>1752.3811000000001</v>
      </c>
    </row>
    <row r="151" spans="1:2" x14ac:dyDescent="0.35">
      <c r="A151" s="25" t="s">
        <v>111</v>
      </c>
      <c r="B151" s="21">
        <v>1605.8669</v>
      </c>
    </row>
    <row r="152" spans="1:2" x14ac:dyDescent="0.35">
      <c r="A152" s="25" t="s">
        <v>132</v>
      </c>
      <c r="B152" s="21">
        <v>1292.4584</v>
      </c>
    </row>
    <row r="153" spans="1:2" x14ac:dyDescent="0.35">
      <c r="A153" s="25" t="s">
        <v>140</v>
      </c>
      <c r="B153" s="21">
        <v>1229.5909999999999</v>
      </c>
    </row>
    <row r="154" spans="1:2" x14ac:dyDescent="0.35">
      <c r="A154" s="25" t="s">
        <v>113</v>
      </c>
      <c r="B154" s="21">
        <v>1061.6185</v>
      </c>
    </row>
    <row r="155" spans="1:2" x14ac:dyDescent="0.35">
      <c r="A155" s="25" t="s">
        <v>163</v>
      </c>
      <c r="B155" s="21">
        <v>577604.81890000007</v>
      </c>
    </row>
    <row r="158" spans="1:2" x14ac:dyDescent="0.35">
      <c r="A158" t="s">
        <v>174</v>
      </c>
    </row>
    <row r="159" spans="1:2" x14ac:dyDescent="0.35">
      <c r="A159" s="24" t="s">
        <v>1</v>
      </c>
      <c r="B159" t="s">
        <v>7</v>
      </c>
    </row>
    <row r="160" spans="1:2" x14ac:dyDescent="0.35">
      <c r="A160" s="25" t="s">
        <v>66</v>
      </c>
      <c r="B160" s="4">
        <v>100</v>
      </c>
    </row>
    <row r="161" spans="1:2" x14ac:dyDescent="0.35">
      <c r="A161" s="25" t="s">
        <v>113</v>
      </c>
      <c r="B161" s="4">
        <v>100</v>
      </c>
    </row>
    <row r="162" spans="1:2" x14ac:dyDescent="0.35">
      <c r="A162" s="25" t="s">
        <v>105</v>
      </c>
      <c r="B162" s="4">
        <v>100</v>
      </c>
    </row>
    <row r="163" spans="1:2" x14ac:dyDescent="0.35">
      <c r="A163" s="25" t="s">
        <v>145</v>
      </c>
      <c r="B163" s="4">
        <v>98</v>
      </c>
    </row>
    <row r="164" spans="1:2" x14ac:dyDescent="0.35">
      <c r="A164" s="25" t="s">
        <v>103</v>
      </c>
      <c r="B164" s="4">
        <v>97</v>
      </c>
    </row>
    <row r="165" spans="1:2" x14ac:dyDescent="0.35">
      <c r="A165" s="25" t="s">
        <v>109</v>
      </c>
      <c r="B165" s="4">
        <v>97</v>
      </c>
    </row>
    <row r="166" spans="1:2" x14ac:dyDescent="0.35">
      <c r="A166" s="25" t="s">
        <v>131</v>
      </c>
      <c r="B166" s="4">
        <v>96</v>
      </c>
    </row>
    <row r="167" spans="1:2" x14ac:dyDescent="0.35">
      <c r="A167" s="25" t="s">
        <v>107</v>
      </c>
      <c r="B167" s="4">
        <v>96</v>
      </c>
    </row>
    <row r="168" spans="1:2" x14ac:dyDescent="0.35">
      <c r="A168" s="25" t="s">
        <v>123</v>
      </c>
      <c r="B168" s="4">
        <v>95</v>
      </c>
    </row>
    <row r="169" spans="1:2" x14ac:dyDescent="0.35">
      <c r="A169" s="25" t="s">
        <v>58</v>
      </c>
      <c r="B169" s="4">
        <v>93</v>
      </c>
    </row>
    <row r="170" spans="1:2" x14ac:dyDescent="0.35">
      <c r="A170" s="25" t="s">
        <v>99</v>
      </c>
      <c r="B170" s="4">
        <v>93</v>
      </c>
    </row>
    <row r="171" spans="1:2" x14ac:dyDescent="0.35">
      <c r="A171" s="25" t="s">
        <v>100</v>
      </c>
      <c r="B171" s="4">
        <v>92</v>
      </c>
    </row>
    <row r="172" spans="1:2" x14ac:dyDescent="0.35">
      <c r="A172" s="25" t="s">
        <v>146</v>
      </c>
      <c r="B172" s="4">
        <v>90</v>
      </c>
    </row>
    <row r="173" spans="1:2" x14ac:dyDescent="0.35">
      <c r="A173" s="25" t="s">
        <v>143</v>
      </c>
      <c r="B173" s="4">
        <v>90</v>
      </c>
    </row>
    <row r="174" spans="1:2" x14ac:dyDescent="0.35">
      <c r="A174" s="25" t="s">
        <v>94</v>
      </c>
      <c r="B174" s="4">
        <v>90</v>
      </c>
    </row>
    <row r="175" spans="1:2" x14ac:dyDescent="0.35">
      <c r="A175" s="25" t="s">
        <v>51</v>
      </c>
      <c r="B175" s="4">
        <v>90</v>
      </c>
    </row>
    <row r="176" spans="1:2" x14ac:dyDescent="0.35">
      <c r="A176" s="25" t="s">
        <v>86</v>
      </c>
      <c r="B176" s="4">
        <v>89</v>
      </c>
    </row>
    <row r="177" spans="1:2" x14ac:dyDescent="0.35">
      <c r="A177" s="25" t="s">
        <v>116</v>
      </c>
      <c r="B177" s="4">
        <v>86</v>
      </c>
    </row>
    <row r="178" spans="1:2" x14ac:dyDescent="0.35">
      <c r="A178" s="25" t="s">
        <v>77</v>
      </c>
      <c r="B178" s="4">
        <v>84</v>
      </c>
    </row>
    <row r="179" spans="1:2" x14ac:dyDescent="0.35">
      <c r="A179" s="25" t="s">
        <v>79</v>
      </c>
      <c r="B179" s="4">
        <v>82</v>
      </c>
    </row>
    <row r="180" spans="1:2" x14ac:dyDescent="0.35">
      <c r="A180" s="25" t="s">
        <v>67</v>
      </c>
      <c r="B180" s="4">
        <v>80</v>
      </c>
    </row>
    <row r="181" spans="1:2" x14ac:dyDescent="0.35">
      <c r="A181" s="25" t="s">
        <v>93</v>
      </c>
      <c r="B181" s="4">
        <v>78</v>
      </c>
    </row>
    <row r="182" spans="1:2" x14ac:dyDescent="0.35">
      <c r="A182" s="25" t="s">
        <v>148</v>
      </c>
      <c r="B182" s="4">
        <v>77</v>
      </c>
    </row>
    <row r="183" spans="1:2" x14ac:dyDescent="0.35">
      <c r="A183" s="25" t="s">
        <v>125</v>
      </c>
      <c r="B183" s="4">
        <v>76</v>
      </c>
    </row>
    <row r="184" spans="1:2" x14ac:dyDescent="0.35">
      <c r="A184" s="25" t="s">
        <v>138</v>
      </c>
      <c r="B184" s="4">
        <v>73</v>
      </c>
    </row>
    <row r="185" spans="1:2" x14ac:dyDescent="0.35">
      <c r="A185" s="25" t="s">
        <v>118</v>
      </c>
      <c r="B185" s="4">
        <v>73</v>
      </c>
    </row>
    <row r="186" spans="1:2" x14ac:dyDescent="0.35">
      <c r="A186" s="25" t="s">
        <v>76</v>
      </c>
      <c r="B186" s="4">
        <v>71</v>
      </c>
    </row>
    <row r="187" spans="1:2" x14ac:dyDescent="0.35">
      <c r="A187" s="25" t="s">
        <v>75</v>
      </c>
      <c r="B187" s="4">
        <v>69</v>
      </c>
    </row>
    <row r="188" spans="1:2" x14ac:dyDescent="0.35">
      <c r="A188" s="25" t="s">
        <v>92</v>
      </c>
      <c r="B188" s="4">
        <v>69</v>
      </c>
    </row>
    <row r="189" spans="1:2" x14ac:dyDescent="0.35">
      <c r="A189" s="25" t="s">
        <v>150</v>
      </c>
      <c r="B189" s="4">
        <v>67</v>
      </c>
    </row>
    <row r="190" spans="1:2" x14ac:dyDescent="0.35">
      <c r="A190" s="25" t="s">
        <v>144</v>
      </c>
      <c r="B190" s="4">
        <v>66</v>
      </c>
    </row>
    <row r="191" spans="1:2" x14ac:dyDescent="0.35">
      <c r="A191" s="25" t="s">
        <v>137</v>
      </c>
      <c r="B191" s="4">
        <v>65</v>
      </c>
    </row>
    <row r="192" spans="1:2" x14ac:dyDescent="0.35">
      <c r="A192" s="25" t="s">
        <v>95</v>
      </c>
      <c r="B192" s="4">
        <v>64</v>
      </c>
    </row>
    <row r="193" spans="1:2" x14ac:dyDescent="0.35">
      <c r="A193" s="25" t="s">
        <v>106</v>
      </c>
      <c r="B193" s="4">
        <v>64</v>
      </c>
    </row>
    <row r="194" spans="1:2" x14ac:dyDescent="0.35">
      <c r="A194" s="25" t="s">
        <v>147</v>
      </c>
      <c r="B194" s="4">
        <v>63</v>
      </c>
    </row>
    <row r="195" spans="1:2" x14ac:dyDescent="0.35">
      <c r="A195" s="25" t="s">
        <v>142</v>
      </c>
      <c r="B195" s="4">
        <v>60</v>
      </c>
    </row>
    <row r="196" spans="1:2" x14ac:dyDescent="0.35">
      <c r="A196" s="25" t="s">
        <v>84</v>
      </c>
      <c r="B196" s="4">
        <v>60</v>
      </c>
    </row>
    <row r="197" spans="1:2" x14ac:dyDescent="0.35">
      <c r="A197" s="25" t="s">
        <v>80</v>
      </c>
      <c r="B197" s="4">
        <v>59</v>
      </c>
    </row>
    <row r="198" spans="1:2" x14ac:dyDescent="0.35">
      <c r="A198" s="25" t="s">
        <v>25</v>
      </c>
      <c r="B198" s="4">
        <v>58</v>
      </c>
    </row>
    <row r="199" spans="1:2" x14ac:dyDescent="0.35">
      <c r="A199" s="25" t="s">
        <v>126</v>
      </c>
      <c r="B199" s="4">
        <v>57</v>
      </c>
    </row>
    <row r="200" spans="1:2" x14ac:dyDescent="0.35">
      <c r="A200" s="25" t="s">
        <v>119</v>
      </c>
      <c r="B200" s="4">
        <v>57</v>
      </c>
    </row>
    <row r="201" spans="1:2" x14ac:dyDescent="0.35">
      <c r="A201" s="25" t="s">
        <v>153</v>
      </c>
      <c r="B201" s="4">
        <v>55</v>
      </c>
    </row>
    <row r="202" spans="1:2" x14ac:dyDescent="0.35">
      <c r="A202" s="25" t="s">
        <v>68</v>
      </c>
      <c r="B202" s="4">
        <v>54</v>
      </c>
    </row>
    <row r="203" spans="1:2" x14ac:dyDescent="0.35">
      <c r="A203" s="25" t="s">
        <v>117</v>
      </c>
      <c r="B203" s="4">
        <v>54</v>
      </c>
    </row>
    <row r="204" spans="1:2" x14ac:dyDescent="0.35">
      <c r="A204" s="25" t="s">
        <v>152</v>
      </c>
      <c r="B204" s="4">
        <v>53</v>
      </c>
    </row>
    <row r="205" spans="1:2" x14ac:dyDescent="0.35">
      <c r="A205" s="25" t="s">
        <v>34</v>
      </c>
      <c r="B205" s="4">
        <v>53</v>
      </c>
    </row>
    <row r="206" spans="1:2" x14ac:dyDescent="0.35">
      <c r="A206" s="25" t="s">
        <v>63</v>
      </c>
      <c r="B206" s="4">
        <v>51</v>
      </c>
    </row>
    <row r="207" spans="1:2" x14ac:dyDescent="0.35">
      <c r="A207" s="25" t="s">
        <v>82</v>
      </c>
      <c r="B207" s="4">
        <v>48</v>
      </c>
    </row>
    <row r="208" spans="1:2" x14ac:dyDescent="0.35">
      <c r="A208" s="25" t="s">
        <v>135</v>
      </c>
      <c r="B208" s="4">
        <v>48</v>
      </c>
    </row>
    <row r="209" spans="1:2" x14ac:dyDescent="0.35">
      <c r="A209" s="25" t="s">
        <v>73</v>
      </c>
      <c r="B209" s="4">
        <v>48</v>
      </c>
    </row>
    <row r="210" spans="1:2" x14ac:dyDescent="0.35">
      <c r="A210" s="25" t="s">
        <v>81</v>
      </c>
      <c r="B210" s="4">
        <v>47</v>
      </c>
    </row>
    <row r="211" spans="1:2" x14ac:dyDescent="0.35">
      <c r="A211" s="25" t="s">
        <v>65</v>
      </c>
      <c r="B211" s="4">
        <v>46</v>
      </c>
    </row>
    <row r="212" spans="1:2" x14ac:dyDescent="0.35">
      <c r="A212" s="25" t="s">
        <v>151</v>
      </c>
      <c r="B212" s="4">
        <v>46</v>
      </c>
    </row>
    <row r="213" spans="1:2" x14ac:dyDescent="0.35">
      <c r="A213" s="25" t="s">
        <v>71</v>
      </c>
      <c r="B213" s="4">
        <v>45</v>
      </c>
    </row>
    <row r="214" spans="1:2" x14ac:dyDescent="0.35">
      <c r="A214" s="25" t="s">
        <v>83</v>
      </c>
      <c r="B214" s="4">
        <v>45</v>
      </c>
    </row>
    <row r="215" spans="1:2" x14ac:dyDescent="0.35">
      <c r="A215" s="25" t="s">
        <v>136</v>
      </c>
      <c r="B215" s="4">
        <v>42</v>
      </c>
    </row>
    <row r="216" spans="1:2" x14ac:dyDescent="0.35">
      <c r="A216" s="25" t="s">
        <v>89</v>
      </c>
      <c r="B216" s="4">
        <v>42</v>
      </c>
    </row>
    <row r="217" spans="1:2" x14ac:dyDescent="0.35">
      <c r="A217" s="25" t="s">
        <v>114</v>
      </c>
      <c r="B217" s="4">
        <v>41</v>
      </c>
    </row>
    <row r="218" spans="1:2" x14ac:dyDescent="0.35">
      <c r="A218" s="25" t="s">
        <v>128</v>
      </c>
      <c r="B218" s="4">
        <v>41</v>
      </c>
    </row>
    <row r="219" spans="1:2" x14ac:dyDescent="0.35">
      <c r="A219" s="25" t="s">
        <v>134</v>
      </c>
      <c r="B219" s="4">
        <v>39</v>
      </c>
    </row>
    <row r="220" spans="1:2" x14ac:dyDescent="0.35">
      <c r="A220" s="25" t="s">
        <v>130</v>
      </c>
      <c r="B220" s="4">
        <v>38</v>
      </c>
    </row>
    <row r="221" spans="1:2" x14ac:dyDescent="0.35">
      <c r="A221" s="25" t="s">
        <v>97</v>
      </c>
      <c r="B221" s="4">
        <v>36</v>
      </c>
    </row>
    <row r="222" spans="1:2" x14ac:dyDescent="0.35">
      <c r="A222" s="25" t="s">
        <v>108</v>
      </c>
      <c r="B222" s="4">
        <v>33</v>
      </c>
    </row>
    <row r="223" spans="1:2" x14ac:dyDescent="0.35">
      <c r="A223" s="25" t="s">
        <v>115</v>
      </c>
      <c r="B223" s="4">
        <v>32</v>
      </c>
    </row>
    <row r="224" spans="1:2" x14ac:dyDescent="0.35">
      <c r="A224" s="25" t="s">
        <v>140</v>
      </c>
      <c r="B224" s="4">
        <v>32</v>
      </c>
    </row>
    <row r="225" spans="1:2" x14ac:dyDescent="0.35">
      <c r="A225" s="25" t="s">
        <v>104</v>
      </c>
      <c r="B225" s="4">
        <v>31</v>
      </c>
    </row>
    <row r="226" spans="1:2" x14ac:dyDescent="0.35">
      <c r="A226" s="25" t="s">
        <v>133</v>
      </c>
      <c r="B226" s="4">
        <v>31</v>
      </c>
    </row>
    <row r="227" spans="1:2" x14ac:dyDescent="0.35">
      <c r="A227" s="25" t="s">
        <v>102</v>
      </c>
      <c r="B227" s="4">
        <v>30</v>
      </c>
    </row>
    <row r="228" spans="1:2" x14ac:dyDescent="0.35">
      <c r="A228" s="25" t="s">
        <v>74</v>
      </c>
      <c r="B228" s="4">
        <v>27</v>
      </c>
    </row>
    <row r="229" spans="1:2" x14ac:dyDescent="0.35">
      <c r="A229" s="25" t="s">
        <v>110</v>
      </c>
      <c r="B229" s="4">
        <v>25</v>
      </c>
    </row>
    <row r="230" spans="1:2" x14ac:dyDescent="0.35">
      <c r="A230" s="25" t="s">
        <v>91</v>
      </c>
      <c r="B230" s="4">
        <v>25</v>
      </c>
    </row>
    <row r="231" spans="1:2" x14ac:dyDescent="0.35">
      <c r="A231" s="25" t="s">
        <v>42</v>
      </c>
      <c r="B231" s="4">
        <v>23</v>
      </c>
    </row>
    <row r="232" spans="1:2" x14ac:dyDescent="0.35">
      <c r="A232" s="25" t="s">
        <v>96</v>
      </c>
      <c r="B232" s="4">
        <v>22</v>
      </c>
    </row>
    <row r="233" spans="1:2" x14ac:dyDescent="0.35">
      <c r="A233" s="25" t="s">
        <v>90</v>
      </c>
      <c r="B233" s="4">
        <v>18</v>
      </c>
    </row>
    <row r="234" spans="1:2" x14ac:dyDescent="0.35">
      <c r="A234" s="25" t="s">
        <v>127</v>
      </c>
      <c r="B234" s="4">
        <v>17</v>
      </c>
    </row>
    <row r="235" spans="1:2" x14ac:dyDescent="0.35">
      <c r="A235" s="25" t="s">
        <v>129</v>
      </c>
      <c r="B235" s="4">
        <v>16</v>
      </c>
    </row>
    <row r="236" spans="1:2" x14ac:dyDescent="0.35">
      <c r="A236" s="25" t="s">
        <v>149</v>
      </c>
      <c r="B236" s="4">
        <v>15</v>
      </c>
    </row>
    <row r="237" spans="1:2" x14ac:dyDescent="0.35">
      <c r="A237" s="25" t="s">
        <v>139</v>
      </c>
      <c r="B237" s="4">
        <v>15</v>
      </c>
    </row>
    <row r="238" spans="1:2" x14ac:dyDescent="0.35">
      <c r="A238" s="25" t="s">
        <v>60</v>
      </c>
      <c r="B238" s="4">
        <v>14</v>
      </c>
    </row>
    <row r="239" spans="1:2" x14ac:dyDescent="0.35">
      <c r="A239" s="25" t="s">
        <v>120</v>
      </c>
      <c r="B239" s="4">
        <v>13</v>
      </c>
    </row>
    <row r="240" spans="1:2" x14ac:dyDescent="0.35">
      <c r="A240" s="25" t="s">
        <v>98</v>
      </c>
      <c r="B240" s="4">
        <v>13</v>
      </c>
    </row>
    <row r="241" spans="1:2" x14ac:dyDescent="0.35">
      <c r="A241" s="25" t="s">
        <v>121</v>
      </c>
      <c r="B241" s="4">
        <v>12</v>
      </c>
    </row>
    <row r="242" spans="1:2" x14ac:dyDescent="0.35">
      <c r="A242" s="25" t="s">
        <v>54</v>
      </c>
      <c r="B242" s="4">
        <v>11</v>
      </c>
    </row>
    <row r="243" spans="1:2" x14ac:dyDescent="0.35">
      <c r="A243" s="25" t="s">
        <v>112</v>
      </c>
      <c r="B243" s="4">
        <v>10</v>
      </c>
    </row>
    <row r="244" spans="1:2" x14ac:dyDescent="0.35">
      <c r="A244" s="25" t="s">
        <v>72</v>
      </c>
      <c r="B244" s="4">
        <v>10</v>
      </c>
    </row>
    <row r="245" spans="1:2" x14ac:dyDescent="0.35">
      <c r="A245" s="25" t="s">
        <v>124</v>
      </c>
      <c r="B245" s="4">
        <v>10</v>
      </c>
    </row>
    <row r="246" spans="1:2" x14ac:dyDescent="0.35">
      <c r="A246" s="25" t="s">
        <v>69</v>
      </c>
      <c r="B246" s="4">
        <v>9</v>
      </c>
    </row>
    <row r="247" spans="1:2" x14ac:dyDescent="0.35">
      <c r="A247" s="25" t="s">
        <v>85</v>
      </c>
      <c r="B247" s="4">
        <v>6</v>
      </c>
    </row>
    <row r="248" spans="1:2" x14ac:dyDescent="0.35">
      <c r="A248" s="25" t="s">
        <v>59</v>
      </c>
      <c r="B248" s="4">
        <v>5</v>
      </c>
    </row>
    <row r="249" spans="1:2" x14ac:dyDescent="0.35">
      <c r="A249" s="25" t="s">
        <v>141</v>
      </c>
      <c r="B249" s="4">
        <v>5</v>
      </c>
    </row>
    <row r="250" spans="1:2" x14ac:dyDescent="0.35">
      <c r="A250" s="25" t="s">
        <v>49</v>
      </c>
      <c r="B250" s="4">
        <v>5</v>
      </c>
    </row>
    <row r="251" spans="1:2" x14ac:dyDescent="0.35">
      <c r="A251" s="25" t="s">
        <v>132</v>
      </c>
      <c r="B251" s="4">
        <v>5</v>
      </c>
    </row>
    <row r="252" spans="1:2" x14ac:dyDescent="0.35">
      <c r="A252" s="25" t="s">
        <v>111</v>
      </c>
      <c r="B252" s="4">
        <v>5</v>
      </c>
    </row>
    <row r="253" spans="1:2" x14ac:dyDescent="0.35">
      <c r="A253" s="25" t="s">
        <v>78</v>
      </c>
      <c r="B253" s="4">
        <v>4</v>
      </c>
    </row>
    <row r="254" spans="1:2" x14ac:dyDescent="0.35">
      <c r="A254" s="25" t="s">
        <v>101</v>
      </c>
      <c r="B254" s="4">
        <v>4</v>
      </c>
    </row>
    <row r="255" spans="1:2" x14ac:dyDescent="0.35">
      <c r="A255" s="25" t="s">
        <v>87</v>
      </c>
      <c r="B255" s="4">
        <v>4</v>
      </c>
    </row>
    <row r="256" spans="1:2" x14ac:dyDescent="0.35">
      <c r="A256" s="25" t="s">
        <v>70</v>
      </c>
      <c r="B256" s="4">
        <v>2</v>
      </c>
    </row>
    <row r="257" spans="1:2" x14ac:dyDescent="0.35">
      <c r="A257" s="25" t="s">
        <v>37</v>
      </c>
      <c r="B257" s="4">
        <v>1</v>
      </c>
    </row>
    <row r="258" spans="1:2" x14ac:dyDescent="0.35">
      <c r="A258" s="25" t="s">
        <v>88</v>
      </c>
      <c r="B258" s="4">
        <v>1</v>
      </c>
    </row>
    <row r="259" spans="1:2" x14ac:dyDescent="0.35">
      <c r="A259" s="25" t="s">
        <v>122</v>
      </c>
      <c r="B259" s="4">
        <v>0</v>
      </c>
    </row>
    <row r="260" spans="1:2" x14ac:dyDescent="0.35">
      <c r="A260" s="25" t="s">
        <v>163</v>
      </c>
      <c r="B260" s="4">
        <v>4777</v>
      </c>
    </row>
    <row r="262" spans="1:2" x14ac:dyDescent="0.35">
      <c r="A262" t="s">
        <v>175</v>
      </c>
    </row>
    <row r="264" spans="1:2" x14ac:dyDescent="0.35">
      <c r="A264" s="24" t="s">
        <v>169</v>
      </c>
      <c r="B264" s="23" t="s">
        <v>176</v>
      </c>
    </row>
    <row r="265" spans="1:2" x14ac:dyDescent="0.35">
      <c r="A265" s="25" t="s">
        <v>36</v>
      </c>
      <c r="B265" s="23">
        <v>5.5549225216512665</v>
      </c>
    </row>
    <row r="266" spans="1:2" x14ac:dyDescent="0.35">
      <c r="A266" s="25" t="s">
        <v>27</v>
      </c>
      <c r="B266" s="23">
        <v>5.5092469689287276</v>
      </c>
    </row>
    <row r="267" spans="1:2" x14ac:dyDescent="0.35">
      <c r="A267" s="25" t="s">
        <v>43</v>
      </c>
      <c r="B267" s="23">
        <v>5.5992916183375021</v>
      </c>
    </row>
    <row r="268" spans="1:2" x14ac:dyDescent="0.35">
      <c r="A268" s="25" t="s">
        <v>163</v>
      </c>
      <c r="B268" s="23">
        <v>5.5481490720195845</v>
      </c>
    </row>
    <row r="279" spans="1:3" x14ac:dyDescent="0.35">
      <c r="A279" s="30" t="s">
        <v>177</v>
      </c>
      <c r="B279" s="30"/>
      <c r="C279" s="30"/>
    </row>
    <row r="280" spans="1:3" x14ac:dyDescent="0.35">
      <c r="A280" s="24" t="s">
        <v>178</v>
      </c>
      <c r="B280" s="21" t="s">
        <v>179</v>
      </c>
    </row>
    <row r="281" spans="1:3" x14ac:dyDescent="0.35">
      <c r="A281" s="25" t="s">
        <v>40</v>
      </c>
      <c r="B281" s="21">
        <v>561.71258846153853</v>
      </c>
    </row>
    <row r="282" spans="1:3" x14ac:dyDescent="0.35">
      <c r="A282" s="25" t="s">
        <v>31</v>
      </c>
      <c r="B282" s="21">
        <v>553.38597931034485</v>
      </c>
    </row>
    <row r="283" spans="1:3" x14ac:dyDescent="0.35">
      <c r="A283" s="25" t="s">
        <v>47</v>
      </c>
      <c r="B283" s="21">
        <v>541.74756785714294</v>
      </c>
    </row>
    <row r="284" spans="1:3" x14ac:dyDescent="0.35">
      <c r="A284" s="25" t="s">
        <v>56</v>
      </c>
      <c r="B284" s="21">
        <v>417.81915294117653</v>
      </c>
    </row>
    <row r="285" spans="1:3" x14ac:dyDescent="0.35">
      <c r="A285" s="25" t="s">
        <v>163</v>
      </c>
      <c r="B285" s="21">
        <v>529.2457820000003</v>
      </c>
    </row>
    <row r="287" spans="1:3" x14ac:dyDescent="0.35">
      <c r="A287" s="25"/>
    </row>
    <row r="296" spans="1:4" x14ac:dyDescent="0.35">
      <c r="A296" s="30" t="s">
        <v>180</v>
      </c>
      <c r="B296" s="30"/>
      <c r="C296" s="30"/>
      <c r="D296" s="30"/>
    </row>
    <row r="297" spans="1:4" x14ac:dyDescent="0.35">
      <c r="A297" s="24" t="s">
        <v>178</v>
      </c>
      <c r="B297" s="22" t="s">
        <v>164</v>
      </c>
    </row>
    <row r="298" spans="1:4" x14ac:dyDescent="0.35">
      <c r="A298" s="25" t="s">
        <v>24</v>
      </c>
      <c r="B298" s="22">
        <v>2.4831501929246203E-2</v>
      </c>
    </row>
    <row r="299" spans="1:4" x14ac:dyDescent="0.35">
      <c r="A299" s="28" t="s">
        <v>40</v>
      </c>
      <c r="B299" s="22">
        <v>2.9247087934532422E-2</v>
      </c>
    </row>
    <row r="300" spans="1:4" x14ac:dyDescent="0.35">
      <c r="A300" s="28" t="s">
        <v>47</v>
      </c>
      <c r="B300" s="22">
        <v>1.9593179653067765E-2</v>
      </c>
    </row>
    <row r="301" spans="1:4" x14ac:dyDescent="0.35">
      <c r="A301" s="28" t="s">
        <v>31</v>
      </c>
      <c r="B301" s="22">
        <v>2.2387315556923377E-2</v>
      </c>
    </row>
    <row r="302" spans="1:4" x14ac:dyDescent="0.35">
      <c r="A302" s="28" t="s">
        <v>56</v>
      </c>
      <c r="B302" s="22">
        <v>3.6428694726088395E-2</v>
      </c>
    </row>
    <row r="303" spans="1:4" x14ac:dyDescent="0.35">
      <c r="A303" s="25" t="s">
        <v>33</v>
      </c>
      <c r="B303" s="22">
        <v>2.3346807819802327E-2</v>
      </c>
    </row>
    <row r="304" spans="1:4" x14ac:dyDescent="0.35">
      <c r="A304" s="28" t="s">
        <v>40</v>
      </c>
      <c r="B304" s="22">
        <v>1.6944181172651132E-2</v>
      </c>
    </row>
    <row r="305" spans="1:2" x14ac:dyDescent="0.35">
      <c r="A305" s="28" t="s">
        <v>47</v>
      </c>
      <c r="B305" s="22">
        <v>2.8782267320882085E-2</v>
      </c>
    </row>
    <row r="306" spans="1:2" x14ac:dyDescent="0.35">
      <c r="A306" s="28" t="s">
        <v>31</v>
      </c>
      <c r="B306" s="22">
        <v>2.9927625004564227E-2</v>
      </c>
    </row>
    <row r="307" spans="1:2" x14ac:dyDescent="0.35">
      <c r="A307" s="28" t="s">
        <v>56</v>
      </c>
      <c r="B307" s="22">
        <v>1.7907668087069024E-2</v>
      </c>
    </row>
    <row r="308" spans="1:2" x14ac:dyDescent="0.35">
      <c r="A308" s="25" t="s">
        <v>57</v>
      </c>
      <c r="B308" s="22">
        <v>1.9192869782813152E-2</v>
      </c>
    </row>
    <row r="309" spans="1:2" x14ac:dyDescent="0.35">
      <c r="A309" s="28" t="s">
        <v>40</v>
      </c>
      <c r="B309" s="22">
        <v>3.9938126329463856E-3</v>
      </c>
    </row>
    <row r="310" spans="1:2" x14ac:dyDescent="0.35">
      <c r="A310" s="28" t="s">
        <v>47</v>
      </c>
      <c r="B310" s="22">
        <v>2.1588410218392435E-2</v>
      </c>
    </row>
    <row r="311" spans="1:2" x14ac:dyDescent="0.35">
      <c r="A311" s="28" t="s">
        <v>31</v>
      </c>
      <c r="B311" s="22">
        <v>2.7036749128426116E-2</v>
      </c>
    </row>
    <row r="312" spans="1:2" x14ac:dyDescent="0.35">
      <c r="A312" s="28" t="s">
        <v>56</v>
      </c>
      <c r="B312" s="22">
        <v>2.0421560742053556E-2</v>
      </c>
    </row>
    <row r="313" spans="1:2" x14ac:dyDescent="0.35">
      <c r="A313" s="25" t="s">
        <v>163</v>
      </c>
      <c r="B313" s="22">
        <v>2.2771579927396077E-2</v>
      </c>
    </row>
  </sheetData>
  <mergeCells count="6">
    <mergeCell ref="A279:C279"/>
    <mergeCell ref="A296:D296"/>
    <mergeCell ref="A24:D24"/>
    <mergeCell ref="A38:L38"/>
    <mergeCell ref="A39:J39"/>
    <mergeCell ref="A53:D53"/>
  </mergeCells>
  <pageMargins left="0.7" right="0.7" top="0.75" bottom="0.75" header="0.3" footer="0.3"/>
  <pageSetup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44316-8ACF-4B10-9919-03044884AB5E}">
  <dimension ref="A1"/>
  <sheetViews>
    <sheetView showGridLines="0" showRowColHeaders="0" workbookViewId="0">
      <selection activeCell="R30" sqref="R30"/>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F3BD-BEE6-46EF-BE20-EC0CFB0CC440}">
  <dimension ref="A1"/>
  <sheetViews>
    <sheetView showGridLines="0" showRowColHeaders="0" tabSelected="1" zoomScale="88" zoomScaleNormal="88" workbookViewId="0">
      <selection activeCell="J31" sqref="J31"/>
    </sheetView>
  </sheetViews>
  <sheetFormatPr defaultRowHeight="14.5" x14ac:dyDescent="0.35"/>
  <cols>
    <col min="1" max="16384" width="8.7265625" style="2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74D9-5CE7-4AF2-934B-04895BE0AC15}">
  <dimension ref="A1"/>
  <sheetViews>
    <sheetView workbookViewId="0">
      <selection activeCell="J7" sqref="J7"/>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4B580D-95FB-4B16-9769-E11A02D02E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ANALYZED DATA</vt:lpstr>
      <vt:lpstr>Supply_chain_data ORIGINAL</vt:lpstr>
      <vt:lpstr>Data Definitions</vt:lpstr>
      <vt:lpstr>Glow</vt:lpstr>
      <vt:lpstr>Pivot Engine</vt:lpstr>
      <vt:lpstr>Background Story</vt:lpstr>
      <vt:lpstr>DashBoard</vt:lpstr>
      <vt:lpstr>Project Lessons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Damsel Umeh</dc:creator>
  <cp:lastModifiedBy>Mowaninuola Umarudeen</cp:lastModifiedBy>
  <dcterms:created xsi:type="dcterms:W3CDTF">2025-12-05T15:40:29Z</dcterms:created>
  <dcterms:modified xsi:type="dcterms:W3CDTF">2026-10-08T21:11:29Z</dcterms:modified>
</cp:coreProperties>
</file>